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abella.chaves\Downloads\"/>
    </mc:Choice>
  </mc:AlternateContent>
  <xr:revisionPtr revIDLastSave="0" documentId="13_ncr:1_{B31BD414-3789-4DDD-A6F4-74C5C87354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Painel Geral" sheetId="2" r:id="rId2"/>
    <sheet name="Por Categoria" sheetId="3" r:id="rId3"/>
    <sheet name="Detalhe Completo" sheetId="4" r:id="rId4"/>
    <sheet name="Envio Trabalhista" sheetId="5" r:id="rId5"/>
    <sheet name="Clientes CX" sheetId="6" r:id="rId6"/>
  </sheets>
  <definedNames>
    <definedName name="_xlnm._FilterDatabase" localSheetId="5" hidden="1">'Clientes CX'!$A$3:$F$39</definedName>
    <definedName name="_xlnm._FilterDatabase" localSheetId="3" hidden="1">'Detalhe Completo'!$A$3:$G$451</definedName>
    <definedName name="_xlnm._FilterDatabase" localSheetId="4" hidden="1">'Envio Trabalhista'!$A$3:$E$98</definedName>
    <definedName name="_xlnm._FilterDatabase" localSheetId="1" hidden="1">'Painel Geral'!$A$3:$I$258</definedName>
    <definedName name="_xlnm._FilterDatabase" localSheetId="2" hidden="1">'Por Categoria'!$A$1:$F$39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F9" i="1"/>
  <c r="C9" i="1"/>
  <c r="F8" i="1"/>
  <c r="C8" i="1"/>
  <c r="F7" i="1"/>
  <c r="C7" i="1"/>
  <c r="F6" i="1"/>
  <c r="C6" i="1"/>
</calcChain>
</file>

<file path=xl/sharedStrings.xml><?xml version="1.0" encoding="utf-8"?>
<sst xmlns="http://schemas.openxmlformats.org/spreadsheetml/2006/main" count="6470" uniqueCount="758">
  <si>
    <t xml:space="preserve">  VOLUMETRIA DE RELATÓRIOS  ·  ATUALIZAÇÃO 24/06/2026</t>
  </si>
  <si>
    <t xml:space="preserve">  Finocchio &amp; Ustra Advogados  ·  Base: Smart Report — Configuração Contencioso (CLI_Providencias_Cont_003)</t>
  </si>
  <si>
    <t xml:space="preserve">   CLIENTES POR CATEGORIA</t>
  </si>
  <si>
    <t xml:space="preserve">   TIPO DE ENVIO</t>
  </si>
  <si>
    <t>◆  Cat. 2 — Trabalhista</t>
  </si>
  <si>
    <t>Somente C.J.</t>
  </si>
  <si>
    <t>●  Cat. 3 — Multi-área · Trabalhista</t>
  </si>
  <si>
    <t>Somente Trabalhista</t>
  </si>
  <si>
    <t>●  Cat. 4 — Multi-área · C.J.</t>
  </si>
  <si>
    <t>C.J. + Trabalhista</t>
  </si>
  <si>
    <t>○  Cat. 5 — Área única</t>
  </si>
  <si>
    <t>Total de providências</t>
  </si>
  <si>
    <t>TOTAL DE CLIENTES</t>
  </si>
  <si>
    <t xml:space="preserve">   CATEGORIAS — DEFINIÇÃO</t>
  </si>
  <si>
    <t>★  Cat. 1 — CX</t>
  </si>
  <si>
    <t>Clientes estratégicos com Key Account dedicado</t>
  </si>
  <si>
    <t>Relatório enviado pela área Trabalhista (fluxo diferenciado)</t>
  </si>
  <si>
    <t>Múltiplas áreas — inclui Trabalhista e C.J.</t>
  </si>
  <si>
    <t>Múltiplas áreas — somente C.J., sem Trabalhista</t>
  </si>
  <si>
    <t>Relatório de uma única área específica</t>
  </si>
  <si>
    <t xml:space="preserve">  Nota: a base de origem (Smart Report) lista providências atualmente cadastradas/ativas; não há marcação de "cancelado" nesta extração.</t>
  </si>
  <si>
    <t xml:space="preserve">  PAINEL GERAL DE CLIENTES</t>
  </si>
  <si>
    <t xml:space="preserve">  255 clientes  ·  Use os filtros ▼ para navegar por categoria, envio e área</t>
  </si>
  <si>
    <t>Cat.</t>
  </si>
  <si>
    <t>Classificação</t>
  </si>
  <si>
    <t>Nº</t>
  </si>
  <si>
    <t>Cliente</t>
  </si>
  <si>
    <t>Key Account CX</t>
  </si>
  <si>
    <t>Tipo de Envio</t>
  </si>
  <si>
    <t>Áreas — C.J.</t>
  </si>
  <si>
    <t>Áreas — Trabalhista</t>
  </si>
  <si>
    <t>Nº Áreas</t>
  </si>
  <si>
    <t>★ 1</t>
  </si>
  <si>
    <t>CX</t>
  </si>
  <si>
    <t>Autoliv</t>
  </si>
  <si>
    <t>Veridiana</t>
  </si>
  <si>
    <t>C.J.</t>
  </si>
  <si>
    <t>Penal Empresarial | Trabalhista | Tributário Administrativo | Tributário Judicial</t>
  </si>
  <si>
    <t>—</t>
  </si>
  <si>
    <t>Basell Poliolefinas</t>
  </si>
  <si>
    <t>Felipe Cervone</t>
  </si>
  <si>
    <t>Trabalhista</t>
  </si>
  <si>
    <t>Ceratti - Atualização PPT/BI</t>
  </si>
  <si>
    <t>Fasa</t>
  </si>
  <si>
    <t>Luis Felipe</t>
  </si>
  <si>
    <t>Tributário Judicial</t>
  </si>
  <si>
    <t>Freudenberg-NOK</t>
  </si>
  <si>
    <t>Talita Orsini</t>
  </si>
  <si>
    <t>Galena</t>
  </si>
  <si>
    <t>Leandro Lucon</t>
  </si>
  <si>
    <t>Aduaneiro | Cível | Penal Empresarial | Recuperação Judicial | Tributário Administrativo | Tributário Consultivo | Tributário Judicial</t>
  </si>
  <si>
    <t>Gelnex</t>
  </si>
  <si>
    <t>Trabalhista | Tributário Judicial</t>
  </si>
  <si>
    <t>Grupo Arcel</t>
  </si>
  <si>
    <t>Octávio Ustra</t>
  </si>
  <si>
    <t>Ambiental | Cível | Recuperação Judicial | Trabalhista | Tributário Administrativo | Tributário Judicial</t>
  </si>
  <si>
    <t>Grupo Clean Field - (Ceratti)</t>
  </si>
  <si>
    <t>Comercial | Trabalhista | Tributário Administrativo | Tributário Judicial</t>
  </si>
  <si>
    <t>Grupo Clean Field - (Ceratti) - Inglês</t>
  </si>
  <si>
    <t>Trabalhista | Tributário Administrativo | Tributário Judicial</t>
  </si>
  <si>
    <t>Grupo Clean Field - (Ceratti) - PDF</t>
  </si>
  <si>
    <t>Tributário Administrativo | Tributário Judicial</t>
  </si>
  <si>
    <t>Grupo Fleury / Confiance (processos prioritários)</t>
  </si>
  <si>
    <t>Luis Felipe Silveira</t>
  </si>
  <si>
    <t>Grupo Freudenberg Geral</t>
  </si>
  <si>
    <t>Ambiental | Compliance | Contratual | Cível | Recuperação Judicial | Societário | Trabalhista</t>
  </si>
  <si>
    <t>Grupo Oggi</t>
  </si>
  <si>
    <t>Cível | Penal Empresarial | Tributário Administrativo | Tributário Judicial</t>
  </si>
  <si>
    <t>HM Clause</t>
  </si>
  <si>
    <t>Cível | Recuperação Judicial | Tributário Judicial</t>
  </si>
  <si>
    <t>JCB</t>
  </si>
  <si>
    <t>Pedro Buffolo</t>
  </si>
  <si>
    <t>Aduaneiro | Cível | Penal Empresarial | Trabalhista | Tributário Judicial</t>
  </si>
  <si>
    <t>Kion Comitê</t>
  </si>
  <si>
    <t>Kion Gerencial</t>
  </si>
  <si>
    <t>Kion/Dematic</t>
  </si>
  <si>
    <t>Aduaneiro | Ambiental | Cível | Recuperação Judicial | Trabalhista | Tributário Administrativo | Tributário Judicial</t>
  </si>
  <si>
    <t>Kluber - (Grupo Freudenberg)</t>
  </si>
  <si>
    <t>Laboratório Bio-Vet</t>
  </si>
  <si>
    <t>Cível | Tributário Judicial</t>
  </si>
  <si>
    <t>Laboratório Confiance</t>
  </si>
  <si>
    <t>Cível</t>
  </si>
  <si>
    <t>Longping</t>
  </si>
  <si>
    <t>Bruno Santo</t>
  </si>
  <si>
    <t>Metalinox</t>
  </si>
  <si>
    <t>Cível | Penal Empresarial | Recuperação Judicial | Trabalhista | Tributário Administrativo</t>
  </si>
  <si>
    <t>Rousselot</t>
  </si>
  <si>
    <t>Silgan</t>
  </si>
  <si>
    <t>Cível | Tributário Administrativo | Tributário Judicial</t>
  </si>
  <si>
    <t>Silgan - Relatório Gerencial - Trimestral</t>
  </si>
  <si>
    <t>Surtec</t>
  </si>
  <si>
    <t>Unimed</t>
  </si>
  <si>
    <t>Unimed - Custas</t>
  </si>
  <si>
    <t>Unimed - Depositos</t>
  </si>
  <si>
    <t>Unimed - Financeiro</t>
  </si>
  <si>
    <t>Vetnil</t>
  </si>
  <si>
    <t>Ambiental | Cível | Trabalhista | Tributário Administrativo | Tributário Judicial</t>
  </si>
  <si>
    <t>Vibracoustic</t>
  </si>
  <si>
    <t>Compliance | Contratual | Cível | RJ/Bancário | Societário | Trabalhista</t>
  </si>
  <si>
    <t>Vibracoustic Interno</t>
  </si>
  <si>
    <t>Vilmorin</t>
  </si>
  <si>
    <t>◆ 2</t>
  </si>
  <si>
    <t>A. Schulman (Colortech)</t>
  </si>
  <si>
    <t>A. Schulman - Trimestral</t>
  </si>
  <si>
    <t>AGV</t>
  </si>
  <si>
    <t>Adata</t>
  </si>
  <si>
    <t>Alessandro Galvão</t>
  </si>
  <si>
    <t>Alikan José da Silveira Júnior</t>
  </si>
  <si>
    <t>Apliquimica</t>
  </si>
  <si>
    <t>Centro Medico</t>
  </si>
  <si>
    <t>Chem-Trend</t>
  </si>
  <si>
    <t>Coe</t>
  </si>
  <si>
    <t>Contencioso Heringer - Vendedores (Família Heringer)</t>
  </si>
  <si>
    <t>Daltez - Bimestral</t>
  </si>
  <si>
    <t>Ebara</t>
  </si>
  <si>
    <t>Eduardo Sampaio de Oliveira</t>
  </si>
  <si>
    <t>Ellopar</t>
  </si>
  <si>
    <t>Fertilizantes Heringer</t>
  </si>
  <si>
    <t>GS Inima</t>
  </si>
  <si>
    <t>Gevisa</t>
  </si>
  <si>
    <t>Grupo Gplex</t>
  </si>
  <si>
    <t>HDN</t>
  </si>
  <si>
    <t>Imperatriz</t>
  </si>
  <si>
    <t>Ingredion - Atualização BI</t>
  </si>
  <si>
    <t>Ingredion Brasil</t>
  </si>
  <si>
    <t>Ipackchem</t>
  </si>
  <si>
    <t>Jaguar</t>
  </si>
  <si>
    <t>João Paulo de Carvalho</t>
  </si>
  <si>
    <t>LBR Engenharia</t>
  </si>
  <si>
    <t>LSL</t>
  </si>
  <si>
    <t>Labutare - Bimestral</t>
  </si>
  <si>
    <t>Martin</t>
  </si>
  <si>
    <t>Modera Engenharia</t>
  </si>
  <si>
    <t>N.L. Energia Solar</t>
  </si>
  <si>
    <t>Nick</t>
  </si>
  <si>
    <t>Petitos</t>
  </si>
  <si>
    <t>Regina Coutinho</t>
  </si>
  <si>
    <t>Revise</t>
  </si>
  <si>
    <t>Risknow</t>
  </si>
  <si>
    <t>Roberto Batista da Silva</t>
  </si>
  <si>
    <t>Rogério Grecco</t>
  </si>
  <si>
    <t>Salitre Fertilizantes</t>
  </si>
  <si>
    <t>Salus</t>
  </si>
  <si>
    <t>Sepam</t>
  </si>
  <si>
    <t>TPF</t>
  </si>
  <si>
    <t>TVH Peças Brasil</t>
  </si>
  <si>
    <t>UPL Labor Report</t>
  </si>
  <si>
    <t>VR Software</t>
  </si>
  <si>
    <t>Vento Haragano (JGL, Jorlus e Brazilian)</t>
  </si>
  <si>
    <t>Viapol - INGLÊS - Trimestral</t>
  </si>
  <si>
    <t>Viapol - Trimestral</t>
  </si>
  <si>
    <t>Villani Alphaville</t>
  </si>
  <si>
    <t>Weme - Bimestral</t>
  </si>
  <si>
    <t>Woodward</t>
  </si>
  <si>
    <t>XCelis</t>
  </si>
  <si>
    <t>Yessinergy - Trimestral</t>
  </si>
  <si>
    <t>Âncora Chumbadores</t>
  </si>
  <si>
    <t>● 3</t>
  </si>
  <si>
    <t>Multi-área · Trabalhista</t>
  </si>
  <si>
    <t>A. Schulman</t>
  </si>
  <si>
    <t>Agis</t>
  </si>
  <si>
    <t>Agrivalle</t>
  </si>
  <si>
    <t>Aliseo</t>
  </si>
  <si>
    <t>Balluff</t>
  </si>
  <si>
    <t>Benteler</t>
  </si>
  <si>
    <t>Contech</t>
  </si>
  <si>
    <t>Fertilizantes Tocantins</t>
  </si>
  <si>
    <t>Penal Empresarial</t>
  </si>
  <si>
    <t>Graham</t>
  </si>
  <si>
    <t>Hanier</t>
  </si>
  <si>
    <t>Penal Empresarial | Recuperação Judicial | Tributário Judicial</t>
  </si>
  <si>
    <t>Kadant</t>
  </si>
  <si>
    <t>M.Layer</t>
  </si>
  <si>
    <t>Mosca</t>
  </si>
  <si>
    <t>Ouro Fino</t>
  </si>
  <si>
    <t>Proton</t>
  </si>
  <si>
    <t>Pupee</t>
  </si>
  <si>
    <t>Recuperação Judicial</t>
  </si>
  <si>
    <t>Sun Ace</t>
  </si>
  <si>
    <t>Aduaneiro | Tributário Judicial</t>
  </si>
  <si>
    <t>Suprir</t>
  </si>
  <si>
    <t>Tecno Tools</t>
  </si>
  <si>
    <t>Cível | Penal Empresarial | Tributário Judicial</t>
  </si>
  <si>
    <t>UPL</t>
  </si>
  <si>
    <t>Cível | Recuperação Judicial</t>
  </si>
  <si>
    <t>Viapol</t>
  </si>
  <si>
    <t>Ambiental | RJ/Bancário</t>
  </si>
  <si>
    <t>Yessinergy</t>
  </si>
  <si>
    <t>● 4</t>
  </si>
  <si>
    <t>Multi-área · C.J.</t>
  </si>
  <si>
    <t>AGA Armazéns</t>
  </si>
  <si>
    <t>Alfa</t>
  </si>
  <si>
    <t>Anjo Química</t>
  </si>
  <si>
    <t>Ball do Brasil</t>
  </si>
  <si>
    <t>Bollhoff</t>
  </si>
  <si>
    <t>Braswell</t>
  </si>
  <si>
    <t>Broto Legal</t>
  </si>
  <si>
    <t>CBP Indústria</t>
  </si>
  <si>
    <t>Ambiental | Cível | Recuperação Judicial | Trabalhista</t>
  </si>
  <si>
    <t>Casale</t>
  </si>
  <si>
    <t>Colchões Apolo</t>
  </si>
  <si>
    <t>Aduaneiro | Tributário Administrativo | Tributário Judicial</t>
  </si>
  <si>
    <t>Cooperativa Nova Esperança</t>
  </si>
  <si>
    <t>Eaton</t>
  </si>
  <si>
    <t>Aduaneiro | Ambiental | Tributário Administrativo</t>
  </si>
  <si>
    <t>Elsys</t>
  </si>
  <si>
    <t>Ambiental | Cível | Recuperação Judicial | Tributário Administrativo | Tributário Judicial</t>
  </si>
  <si>
    <t>Emerson</t>
  </si>
  <si>
    <t>Equipesca</t>
  </si>
  <si>
    <t>Facchini</t>
  </si>
  <si>
    <t>Fantástico Alimentos - (Ruston)</t>
  </si>
  <si>
    <t>Farmabase</t>
  </si>
  <si>
    <t>Aduaneiro | Cível | Tributário Administrativo | Tributário Judicial</t>
  </si>
  <si>
    <t>GM</t>
  </si>
  <si>
    <t>Global Frutas</t>
  </si>
  <si>
    <t>Glory Global</t>
  </si>
  <si>
    <t>Grupo Fitcard</t>
  </si>
  <si>
    <t>IOB/SAGE (AO3)</t>
  </si>
  <si>
    <t>Ambiental | Tributário Judicial</t>
  </si>
  <si>
    <t>Ilender</t>
  </si>
  <si>
    <t>Ingredion</t>
  </si>
  <si>
    <t>Cível | Penal Empresarial</t>
  </si>
  <si>
    <t>Insider</t>
  </si>
  <si>
    <t>Ambiental | Cível</t>
  </si>
  <si>
    <t>Intercement</t>
  </si>
  <si>
    <t>Kennametal</t>
  </si>
  <si>
    <t>Aduaneiro | Trabalhista | Tributário Administrativo | Tributário Judicial</t>
  </si>
  <si>
    <t>Macmillan</t>
  </si>
  <si>
    <t>MasterSense</t>
  </si>
  <si>
    <t>Momentive</t>
  </si>
  <si>
    <t>Myralis</t>
  </si>
  <si>
    <t>Máquinas Furlan</t>
  </si>
  <si>
    <t>Penal Empresarial | Recuperação Judicial | Tributário Administrativo | Tributário Judicial</t>
  </si>
  <si>
    <t>Novametal</t>
  </si>
  <si>
    <t>Cível | Recuperação Judicial | Tributário Administrativo</t>
  </si>
  <si>
    <t>Padtec</t>
  </si>
  <si>
    <t>Cível | Recuperação Judicial | Tributário Administrativo | Tributário Judicial</t>
  </si>
  <si>
    <t>Perfetti</t>
  </si>
  <si>
    <t>Portal</t>
  </si>
  <si>
    <t>Cível | Trabalhista</t>
  </si>
  <si>
    <t>Pulvitec / Salatec</t>
  </si>
  <si>
    <t>Real Moto Peças</t>
  </si>
  <si>
    <t>Scholle</t>
  </si>
  <si>
    <t>Skytech</t>
  </si>
  <si>
    <t>Sonepar</t>
  </si>
  <si>
    <t>Penal Empresarial | Tributário Administrativo | Tributário Judicial</t>
  </si>
  <si>
    <t>Tagma</t>
  </si>
  <si>
    <t>Cível | Trabalhista | Tributário Administrativo | Tributário Judicial</t>
  </si>
  <si>
    <t>Tennis Sports</t>
  </si>
  <si>
    <t>Thebe (Ebara)</t>
  </si>
  <si>
    <t>Transdata</t>
  </si>
  <si>
    <t>Transportadora Porto Ferreira</t>
  </si>
  <si>
    <t>Ambiental | Cível | Recuperação Judicial | Tributário Judicial</t>
  </si>
  <si>
    <t>Univar</t>
  </si>
  <si>
    <t>○ 5</t>
  </si>
  <si>
    <t>Área única</t>
  </si>
  <si>
    <t>ADTsys</t>
  </si>
  <si>
    <t>Alci Previtali</t>
  </si>
  <si>
    <t>Ambiental</t>
  </si>
  <si>
    <t>Alimentos Wilson</t>
  </si>
  <si>
    <t>Angelo Eduardo</t>
  </si>
  <si>
    <t>Atmis</t>
  </si>
  <si>
    <t>Auto Defesa - (Campseg)</t>
  </si>
  <si>
    <t>Tributário Administrativo</t>
  </si>
  <si>
    <t>BK Consultoria</t>
  </si>
  <si>
    <t>Benassi</t>
  </si>
  <si>
    <t>Brasplan</t>
  </si>
  <si>
    <t>Buchara</t>
  </si>
  <si>
    <t>CHS Olesen - (CHR)</t>
  </si>
  <si>
    <t>COIM</t>
  </si>
  <si>
    <t>Aduaneiro</t>
  </si>
  <si>
    <t>Candura 1</t>
  </si>
  <si>
    <t>Candura 2</t>
  </si>
  <si>
    <t>Catalent</t>
  </si>
  <si>
    <t>DHL - Atualização no Site</t>
  </si>
  <si>
    <t>DMB Máquinas</t>
  </si>
  <si>
    <t>Daltez</t>
  </si>
  <si>
    <t>Danie Indústria (PDF)</t>
  </si>
  <si>
    <t>Delta</t>
  </si>
  <si>
    <t>Drivetech</t>
  </si>
  <si>
    <t>Eagleburgmann</t>
  </si>
  <si>
    <t>Eduk (MindLab)</t>
  </si>
  <si>
    <t>Elgin - (antiga Heatcraft)</t>
  </si>
  <si>
    <t>Eltek</t>
  </si>
  <si>
    <t>Federzoni</t>
  </si>
  <si>
    <t>Finepack</t>
  </si>
  <si>
    <t>Flextronics</t>
  </si>
  <si>
    <t>GEA</t>
  </si>
  <si>
    <t>Grupo GS Inima</t>
  </si>
  <si>
    <t>Grupo Hortifrutti</t>
  </si>
  <si>
    <t>Grupo LSL</t>
  </si>
  <si>
    <t>Grupo RVM</t>
  </si>
  <si>
    <t>Grupo Sforza</t>
  </si>
  <si>
    <t>Grupo Toniello</t>
  </si>
  <si>
    <t>Guangan</t>
  </si>
  <si>
    <t>Guerra Implementos</t>
  </si>
  <si>
    <t>HANNA</t>
  </si>
  <si>
    <t>Herbicat</t>
  </si>
  <si>
    <t>Heringer</t>
  </si>
  <si>
    <t>Iberfrutas</t>
  </si>
  <si>
    <t>Isabel da Cunha "Ilmo"</t>
  </si>
  <si>
    <t>Isat - (Inspand)</t>
  </si>
  <si>
    <t>JA Saúde Animal</t>
  </si>
  <si>
    <t>Jacobsen</t>
  </si>
  <si>
    <t>Laboratório Aclimação</t>
  </si>
  <si>
    <t>Tibutário Judicial</t>
  </si>
  <si>
    <t>Leonardo Leal Lopes</t>
  </si>
  <si>
    <t>M2B Automotiv</t>
  </si>
  <si>
    <t>MAIZ</t>
  </si>
  <si>
    <t>Max Gaudereto</t>
  </si>
  <si>
    <t>Mazars / Cabrera Consultoria</t>
  </si>
  <si>
    <t>Mega Utilidades</t>
  </si>
  <si>
    <t>Moinhos</t>
  </si>
  <si>
    <t>Mr. Bey / Alibey</t>
  </si>
  <si>
    <t>Móveis Província</t>
  </si>
  <si>
    <t>NSM</t>
  </si>
  <si>
    <t>Neotech</t>
  </si>
  <si>
    <t>Neovia</t>
  </si>
  <si>
    <t>Nexira Sas.</t>
  </si>
  <si>
    <t>Nova Assist</t>
  </si>
  <si>
    <t>PPG</t>
  </si>
  <si>
    <t>Pedra Agroindustrial</t>
  </si>
  <si>
    <t>Pedro Dalari</t>
  </si>
  <si>
    <t>Plurinox</t>
  </si>
  <si>
    <t>Polidomi</t>
  </si>
  <si>
    <t>Produtos Alimentícios Orlandi</t>
  </si>
  <si>
    <t>Produzir</t>
  </si>
  <si>
    <t>Rede Brasileira (Mundo Verde)</t>
  </si>
  <si>
    <t>Result Armazéns</t>
  </si>
  <si>
    <t>Samsung</t>
  </si>
  <si>
    <t>Sanmina</t>
  </si>
  <si>
    <t>Santa Clara</t>
  </si>
  <si>
    <t>Soledade</t>
  </si>
  <si>
    <t>Somma</t>
  </si>
  <si>
    <t>Stracci</t>
  </si>
  <si>
    <t>Sérgio Paulo Fernandes Mauad</t>
  </si>
  <si>
    <t>Sólides</t>
  </si>
  <si>
    <t>TCA/Horiba</t>
  </si>
  <si>
    <t>TUV RHEINLAND</t>
  </si>
  <si>
    <t>Tech Filter</t>
  </si>
  <si>
    <t>Thais Saliba</t>
  </si>
  <si>
    <t>Transportadora Steck</t>
  </si>
  <si>
    <t>Transportadora Veronese</t>
  </si>
  <si>
    <t>UCBVET</t>
  </si>
  <si>
    <t>Unimobili</t>
  </si>
  <si>
    <t>Uniron/Autimex</t>
  </si>
  <si>
    <t>VINDI</t>
  </si>
  <si>
    <t>VIP Transportes - (Grupo Vipex)</t>
  </si>
  <si>
    <t>VPN Comunicação</t>
  </si>
  <si>
    <t>Vermeer</t>
  </si>
  <si>
    <t>Viapol - "Autora"</t>
  </si>
  <si>
    <t>Viapol - "Ré"</t>
  </si>
  <si>
    <t>Viapol - (Ré)</t>
  </si>
  <si>
    <t>Waldyr Lima</t>
  </si>
  <si>
    <t xml:space="preserve">  CLIENTES POR CATEGORIA</t>
  </si>
  <si>
    <t xml:space="preserve">   ★  Cat. 1 — Clientes CX   ·   Clientes estratégicos com Key Account dedicado   ·   36 clientes</t>
  </si>
  <si>
    <t>Detalhe / KA</t>
  </si>
  <si>
    <t>Áreas</t>
  </si>
  <si>
    <t>Aduaneiro | Cível | Penal Empresarial | Recuperação Judicial | Tributário Administrativo | Tributário Consultivo | Tributário Judicial | Trabalhista</t>
  </si>
  <si>
    <t>Cível | Tributário Judicial | Trabalhista</t>
  </si>
  <si>
    <t>Tributário Administrativo | Tributário Judicial | Trabalhista</t>
  </si>
  <si>
    <t>Cível | Tributário Administrativo | Tributário Judicial | Trabalhista</t>
  </si>
  <si>
    <t xml:space="preserve">   ◆  Cat. 2 — Trabalhista   ·   Relatório enviado pela área Trabalhista (fluxo diferenciado)   ·   55 clientes</t>
  </si>
  <si>
    <t>Envio via área Trabalhista</t>
  </si>
  <si>
    <t xml:space="preserve">   ●  Cat. 3 — Multi-área · Trabalhista   ·   Múltiplas áreas — inclui C.J. + Trabalhista   ·   22 clientes</t>
  </si>
  <si>
    <t>Cível | Recuperação Judicial | Tributário Judicial | Trabalhista</t>
  </si>
  <si>
    <t>Penal Empresarial | Trabalhista</t>
  </si>
  <si>
    <t>Tributário Judicial | Trabalhista</t>
  </si>
  <si>
    <t>Penal Empresarial | Recuperação Judicial | Tributário Judicial | Trabalhista</t>
  </si>
  <si>
    <t>Recuperação Judicial | Trabalhista</t>
  </si>
  <si>
    <t>Aduaneiro | Tributário Judicial | Trabalhista</t>
  </si>
  <si>
    <t>Cível | Penal Empresarial | Tributário Judicial | Trabalhista</t>
  </si>
  <si>
    <t>Cível | Recuperação Judicial | Trabalhista</t>
  </si>
  <si>
    <t>Ambiental | RJ/Bancário | Trabalhista</t>
  </si>
  <si>
    <t xml:space="preserve">   ●  Cat. 4 — Multi-área · C.J.   ·   Múltiplas áreas — somente C.J., sem Trabalhista   ·   48 clientes</t>
  </si>
  <si>
    <t>Múltiplas áreas C.J. (2 ativas)</t>
  </si>
  <si>
    <t>Múltiplas áreas C.J. (3 ativas)</t>
  </si>
  <si>
    <t>Múltiplas áreas C.J. (6 ativas)</t>
  </si>
  <si>
    <t>Múltiplas áreas C.J. (4 ativas)</t>
  </si>
  <si>
    <t>Múltiplas áreas C.J. (5 ativas)</t>
  </si>
  <si>
    <t xml:space="preserve">   ○  Cat. 5 — Área única   ·   Relatório de uma única área específica   ·   94 clientes</t>
  </si>
  <si>
    <t xml:space="preserve">  DETALHE COMPLETO — LINHA POR PROVIDÊNCIA</t>
  </si>
  <si>
    <t xml:space="preserve">  Cada linha representa uma providência cadastrada (cliente × área × envio)</t>
  </si>
  <si>
    <t>Classif.</t>
  </si>
  <si>
    <t>Área</t>
  </si>
  <si>
    <t>Prazo Fatal</t>
  </si>
  <si>
    <t>Observações</t>
  </si>
  <si>
    <t>2026-09-11</t>
  </si>
  <si>
    <t>Relatório Trimestral - A. Schulman - Envio todo dia 12 Data base: referente ao mês de envio Obs: Grupo ( SIM) - Cliente CX</t>
  </si>
  <si>
    <t>2026-07-03</t>
  </si>
  <si>
    <t>Relatório Mensal - A. Schulman - Envio todo dia 05 Data base: referente ao mês Anterior Obs: Grupo ( SIM) - Cliente CX</t>
  </si>
  <si>
    <t>2026-06-12</t>
  </si>
  <si>
    <t>2026-05-18</t>
  </si>
  <si>
    <t>Relatório Mensal - A. Schulman (Colortech) - Envio todo dia 05. Data base: Mês anterior. Obs: Grupo (SIM) - Cliente CX</t>
  </si>
  <si>
    <t>2026-09-04</t>
  </si>
  <si>
    <t>Relatório Trimestral - A. Schulman - Envio todo dia 05 Data base: Mês de envio Obs: Grupo (SIM) - Cliente CX</t>
  </si>
  <si>
    <t>2026-07-17</t>
  </si>
  <si>
    <t>Relatório Mensal - ADTsys - Envio todo dia 20 Data base: Mês de envio</t>
  </si>
  <si>
    <t>Relatório Mensal - AGA Armazéns - Envio todo dia 05 Data base: referente ao mês de envio Obs: Grupo ( NÃO)</t>
  </si>
  <si>
    <t>2026-07-15</t>
  </si>
  <si>
    <t>Relatório Mensal - AGV - Todo dia 15 Data base: referente ao mês de envio Obs: Grupo ( SIM)</t>
  </si>
  <si>
    <t>2026-07-01</t>
  </si>
  <si>
    <t>Relatório Mensal - Adata - Envio todo dia 01 Data base: Mês anterior Obs: Grupo (SIM)</t>
  </si>
  <si>
    <t>Relatório Mensal - Agis - Envio todo dia 20 Data base: Mês de envio Obs: Atualização no sistema do cliente</t>
  </si>
  <si>
    <t>2026-06-30</t>
  </si>
  <si>
    <t>Relatório Mensa - Agis - Envio todo dia 30 Data base: Mês anterior Obs: Atualização no sistema do cliente</t>
  </si>
  <si>
    <t>2026-06-15</t>
  </si>
  <si>
    <t>Relatório Mensal - Agis - Envio todo dia 20. Data base: Mês de envio Obs: Grupo (SIM)</t>
  </si>
  <si>
    <t>2026-07-02</t>
  </si>
  <si>
    <t>Relatório Mensal - Agrivalle - Envio todo dia 02 Data base: referente ao mês Anterior Obs: Grupo (NÃO)</t>
  </si>
  <si>
    <t>2026-07-08</t>
  </si>
  <si>
    <t>Relatório Mensal - Agrivalle - Envio todo dia 08 Data base: Mês Anterior Obs: Grupo (NÃO)</t>
  </si>
  <si>
    <t>Relatório Mensal - Alessandro Galvão - Envio todo dia 07. Data base: Mês de envio Obs: Grupo (NÃO)</t>
  </si>
  <si>
    <t>Relatório Mensal - Alfa - Envio todo dia 20 Data base: Mês de envio</t>
  </si>
  <si>
    <t>Relatório Mensal - Alikan José da Silveira Júnior - Envio todo dia 04 Data base: referente ao mês Anterior Obs: Grupo (NÃO)</t>
  </si>
  <si>
    <t>2026-07-10</t>
  </si>
  <si>
    <t>Relatório Mensal - Alimentos Wilson - Envio todo dia 10 Data base: referente ao mês Anterior Obs: Grupo (NÃO)</t>
  </si>
  <si>
    <t>Relatório Mensal - Aliseo - Envio todo dia 15 Data base: referente ao mês de envio Obs: Grupo (NÃO)</t>
  </si>
  <si>
    <t>Relatório Mensal - Aliseo - Envio todo dia 02 Data base: Mês anterior Obs: Grupo (NÃO)</t>
  </si>
  <si>
    <t>Relatório Mensal - Angelo Eduardo - Envio todo dia 10 Data base: referente ao mês de envio Obs: Grupo (NÃO)</t>
  </si>
  <si>
    <t>Relatório Trimestral - Anjo Química - Envio todo dia 09 Data base: referente ao mês de envio Obs: Grupo (NÃO)</t>
  </si>
  <si>
    <t>2026-07-09</t>
  </si>
  <si>
    <t>Relatório Mensal - Apliquimica - Envio todo dia 09 Data base: referente ao mês Anterior Obs: Grupo ( SIM)</t>
  </si>
  <si>
    <t>Relatório Mensal - Atmis - Envio todo dia 10 Data base: referente ao mês de envio Obs: Grupo (NÃO)</t>
  </si>
  <si>
    <t>Relatório Mensal - Auto Defesa - (Campseg)- Envio todo dia 10 Data base: referente ao mês Anterior Obs: Grupo (NÃO)</t>
  </si>
  <si>
    <t>Relatório Mensal - Autoliv - Envio todo dia 20 Data base: Mês de envio</t>
  </si>
  <si>
    <t>2026-06-26</t>
  </si>
  <si>
    <t>Relatório Mensal - BK Consultoria - Envio todo dia 28 Data base: Mês de envio</t>
  </si>
  <si>
    <t>Relatório Mensal - Ball do Brasil - Envio todo dia 20 Data base: Mês de envio</t>
  </si>
  <si>
    <t>Relatório Mensal - Balluff - Envio todo dia 15 Data base: referente ao mês de envio Obs: Grupo (NÃO)</t>
  </si>
  <si>
    <t>Relatório Mensal - Balluff - Envio todo dia 05 Data base: referente ao mês Anterior</t>
  </si>
  <si>
    <t>Relatório Mensal - Basell - Envio todo dia 10 Data base: referente ao mês de envio Obs: Grupo ( SIM) - Cliente CX</t>
  </si>
  <si>
    <t>Relatório Mensal - Benassi - Envio todo dia 30 Data base: Mês de envio</t>
  </si>
  <si>
    <t>Relatório Mensal - Benteler - Envio todo dia 10 Data base: referente ao mês Anterior Obs: Grupo (NÃO)</t>
  </si>
  <si>
    <t>Relatório Mensal - Benteler - Envio todo dia 10 Data base: referente ao mês Anterior Obs: Grupo (NÃO) E-MAIL enviar separado dos demais casos</t>
  </si>
  <si>
    <t>2026-06-19</t>
  </si>
  <si>
    <t>Relatório Mensal - Benteler - Envio todo dia 20 Data base: referente ao mês de envio Obs: Grupo ( SIM)</t>
  </si>
  <si>
    <t>2026-07-07</t>
  </si>
  <si>
    <t>Relatório Mensal - Bollhoff - Envio todo dia 5º dia útil Data base: referente ao mês Anterior Obs: Grupo ( NÃO) - Unificado - NÃO PROTEGER A PLANILHA EXCEL</t>
  </si>
  <si>
    <t>Relatório Mensal - Brasplan - Envio todo dia 10 Data base: referente ao mês Anterior Obs: Grupo (NÃO)</t>
  </si>
  <si>
    <t>Relatório Mensal - Braswell - Envio todo dia 28 Data base: Mês de envio</t>
  </si>
  <si>
    <t>Relatório Mensal - Braswell - Envio todo dia 05 Data base: referente ao mês de envio Obs: Grupo (NÃO)</t>
  </si>
  <si>
    <t>Relatório Mensal - Broto - Envio todo dia 05 Data base: referente ao mês Anterior Obs: Grupo (NÃO) - Unificado</t>
  </si>
  <si>
    <t>Relatório Mensal - Buchara - Envio todo dia 10 Data base: referente ao mês Anterior Obs: Grupo (NÃO)</t>
  </si>
  <si>
    <t>Relatório Mensal - CBP Indústria - Envio todo dia 05 Data base: referente ao mês Anterior Obs: Grupo (NÃO)</t>
  </si>
  <si>
    <t>Relatório Mensal - CBP Indústria - Envio todo dia 05 Data base: referente ao mês Anterior Obs: Grupo (NÃO) - São dois relatorios em Excel</t>
  </si>
  <si>
    <t>Relatório Mensal - CBP Indústria - Envio todo dia 05 Data base: referente ao mês Anterior Obs: Grupo (NÃO) - Temos Gerencial</t>
  </si>
  <si>
    <t>Relatório Mensal - CHS Olesen - Envio todo dia 15 Data base: Mês de envio</t>
  </si>
  <si>
    <t>Relatório Mensal - COIM - Envio todo dia 02 Data base: Mês de envio</t>
  </si>
  <si>
    <t>Relatório Mensal - Candura 1 - Envio todo dia 20 Data base: Mês de envio Obs: Empresas Iplasa e Jequi</t>
  </si>
  <si>
    <t>Relatório Mensal - Candura - Envio todo dia 20 Data base: Mês de envio Obs: Empresas Iplasa e Jequi</t>
  </si>
  <si>
    <t>Relatório Mensal - Casale - Envio todo dia 30 Data base: Mês de envio</t>
  </si>
  <si>
    <t>2026-09-18</t>
  </si>
  <si>
    <t>Relatório Trimestral - Catalent - Envio todo dia 20 Data base: Mês de envio</t>
  </si>
  <si>
    <t>Relatório Mensal - Centro Médico - Envio todo dia 09 Data base: Mês anterior Obs: Grupo (NÃO)</t>
  </si>
  <si>
    <t>2026-07-20</t>
  </si>
  <si>
    <t>Relatório Trimestral - Atualização de PPT / BI - Ceratti - Envio todo dia 20 Data base: Mês anterior Obs: Grupo (SIM) - Cliente CX</t>
  </si>
  <si>
    <t>Relatório Mensal - Chem-Trend - Envio todo dia 03. Data base: Mês de envio Obs: Grupo (SIM) - Cliente CX</t>
  </si>
  <si>
    <t>2026-07-06</t>
  </si>
  <si>
    <t>Relatório Mensal - Coe - Envio todo dia 06 Data base: Mês de envio Obs: Grupo (SIM)</t>
  </si>
  <si>
    <t>Relatório Mensal - Colchões Apolo - Envio todo dia 10 Data base: Mês de envio</t>
  </si>
  <si>
    <t>Relatório Mensal - Contech - Envio todo dia 10 Data base: Mês anterior</t>
  </si>
  <si>
    <t>Relatório Mensal - Contech - Envio todo dia 09. Data base: Mês anterior. Obs: Grupo (SIM)</t>
  </si>
  <si>
    <t>2026-06-17</t>
  </si>
  <si>
    <t>Relatório Mensal - Contencioso Heringer - Vendedores (Família Heringer) - Envio todo dia 20. Data base: Mês de envio Obs: Grupo (SIM)</t>
  </si>
  <si>
    <t>Relatório Mensal - Cooperativa Nova Esperança - Envio todo dia 10 Data base: Mês anterior</t>
  </si>
  <si>
    <t>Relatório Mensal - DHL - Envio todo dia 15 Data base: Mês de envio Obs.: Atualização no site do cliente</t>
  </si>
  <si>
    <t>2026-08-19</t>
  </si>
  <si>
    <t>Relatório Trimestral - DMB Máquinas - Envio todo dia 20 Data base: Mês de envio</t>
  </si>
  <si>
    <t>2026-06-25</t>
  </si>
  <si>
    <t>Relatório Mensal - Daltez - Envio todo dia 25 Data base: Mês de envio</t>
  </si>
  <si>
    <t>2026-06-05</t>
  </si>
  <si>
    <t>Relatório Bimestral - Daltez - Envio todo dia 09. Data base: Mês ANTERIOR. Obs: Grupo (NÃO)</t>
  </si>
  <si>
    <t>Relatório Mensal - Danie Indústria - Envio todo dia 10 Data base: Mês anterior Obs.: Relatório em PDF</t>
  </si>
  <si>
    <t>Relatório Mensal - Delta - Envio todo dia 15 Data base: Mês de envio</t>
  </si>
  <si>
    <t>Relatório Trimestral - Drivetech - Envio todo dia 07 Data base: Mês de envio</t>
  </si>
  <si>
    <t>Relatório Mensal - Eagleburgmann - Envio todo dia 10 Data base: Mês anterior</t>
  </si>
  <si>
    <t>Relatório Mensal - Eaton - Envio todo dia 03 Data base: Mês de envio</t>
  </si>
  <si>
    <t>2026-06-02</t>
  </si>
  <si>
    <t>Relatório Mensal - Ebara - Envio todo dia 04. Data base: Mês ANTERIOR. Obs: Grupo (SIM)</t>
  </si>
  <si>
    <t>Relatório Mensal - Eduardo Sampaio de Oliveira - Envio todo dia 09. Data base: Mês anterior. Obs: Grupo (NÃO)</t>
  </si>
  <si>
    <t>Relatório Mensal - Eduk (MindLab) - Envio todo dia 05 Data base: Mês anterior</t>
  </si>
  <si>
    <t>Relatório Mensal - Elgin - Envio todo 5º dia útil Data base: Mês de envio</t>
  </si>
  <si>
    <t>Relatório Mensal - Ellopar - Envio todo dia 09 Data base: referente ao mês Anterior Obs: Grupo ( SIM)</t>
  </si>
  <si>
    <t>Relatório Mensal - Elsys - Envio toda última quinta de cada mês Data base: Mês de envio</t>
  </si>
  <si>
    <t>Relatório Mensal - Eltek - Envio todo dia 10 Data base: Mês anterior</t>
  </si>
  <si>
    <t>Relatório Mensal - Emerson - Envio todo dia 10 Data base: Mês de envio</t>
  </si>
  <si>
    <t>Relatório Mensal - Equipesca - Envio todo dia 10 Data base: Mês anterior</t>
  </si>
  <si>
    <t>2026-07-13</t>
  </si>
  <si>
    <t>Relatório Trimestral - Facchini - Envio todo dia 14 Data base: Mês de envio</t>
  </si>
  <si>
    <t>Relatório Mensal - Alimentos Fantástico (Ruston) - Envio todo dia 10 Data base: Mês anterior</t>
  </si>
  <si>
    <t>Relatório Mensal - Farmabase - Envio todo dia 25 Data base: Mês de envio</t>
  </si>
  <si>
    <t>2026-07-24</t>
  </si>
  <si>
    <t>Relatório Mensal - Fasa - Envio todo dia 24 Data base: Mês de envio Obs.: Grupo Rousselot</t>
  </si>
  <si>
    <t>Relatório Mensal - Federzoni - Envio todo dia 05 Data base: Mês anterior</t>
  </si>
  <si>
    <t>Relatório Mensal - Fertilizantres Tocantins - Envio todo dia 20 Data base: Mês de envio Obs.: Enviar em e-mail separado</t>
  </si>
  <si>
    <t>2026-06-11</t>
  </si>
  <si>
    <t>Relatório Mensal - Fertilizantes Tocantins - Envio todo dia 20. Data base: Mês de envio Obs: Grupo (SIM)</t>
  </si>
  <si>
    <t>Relatório Mensal - Finepack - Envio todo dia 05 Data base: Mês anterior</t>
  </si>
  <si>
    <t>2026-09-10</t>
  </si>
  <si>
    <t>Relatório Trimestral - Flextronics - Envio todo dia 10 Data base: Mês de envio</t>
  </si>
  <si>
    <t>Relatório Mensal - Freudenberg-NOK - Envio todo dia 03 Data base: Mês anterior Obs: Grupo (SIM)- Cliente CX</t>
  </si>
  <si>
    <t>Relatório Mensal - GEA - Envio todo dia 05 Data base: Mês anterior</t>
  </si>
  <si>
    <t>Relatório Mensal - GM - Envio todo dia 20 Data base: Mês de envio</t>
  </si>
  <si>
    <t>Relatório Mensal - GS Inima - Envio todo dia 09 Data base: referente ao mês Anterior Obs: Grupo ( SIM)</t>
  </si>
  <si>
    <t>Relatório Mensal - Galena - Envio todo dia 30 Data base: Mês de envio Obs.: Atenção com o Resumo "novo pedido"</t>
  </si>
  <si>
    <t>Relatório Mensal - Galena - Envio todo dia 30 Data base: Mês de envio Obs.: Envio separado</t>
  </si>
  <si>
    <t>Tributário Consultivo</t>
  </si>
  <si>
    <t>Relatório Mensal - Galena - Envio todo dia 30 Data base: Mês de envio Obs.: Enviar invite e e-mail para lembrança da providência // Atenção com o Resumo "novo pedido"</t>
  </si>
  <si>
    <t>Relatório Mensal - Galena - Envio todo dia 09. Data base: Mês anterior. Obs: Grupo (SIM) - Cliente CX</t>
  </si>
  <si>
    <t>2026-06-24</t>
  </si>
  <si>
    <t>Relatório Mensal - Gelnex - Envio todo dia 24 Data base: Mês de envio Obs.: Envio separado</t>
  </si>
  <si>
    <t>Relatório Mensal - Gelnex - Envio todo dia 24 Data base: Mês de envio</t>
  </si>
  <si>
    <t>2026-06-18</t>
  </si>
  <si>
    <t>Relatório Mensal - Gevisa - Envio todo dia 05. Data base: Mês anterior. Obs: Grupo (NÃO)</t>
  </si>
  <si>
    <t>Relatório Mensal - Global Frutas - Envio todo dia 30 Data base: Mês de envio</t>
  </si>
  <si>
    <t>Relatório Mensal - Global Frutas - Envio todo dia 15 Data base: Mês anterior</t>
  </si>
  <si>
    <t>2026-09-15</t>
  </si>
  <si>
    <t>Relatório Trimestral - Glory Global Solutions - Envio todo dia 15 Data base: Mês de envio</t>
  </si>
  <si>
    <t>Relatório Trimestral - Graham - Envio todo dia 25 Data base: Mês de envio</t>
  </si>
  <si>
    <t>Relatório Mensal - Graham - Envio todo dia 25 Data base: referente ao mês Anterior Obs: Grupo (NÃO)</t>
  </si>
  <si>
    <t>Relatório Mensal - Grupo Arcel - Envio todo dia 20 Data base: Mês de envio</t>
  </si>
  <si>
    <t>Comercial</t>
  </si>
  <si>
    <t>Relatório Mensal - Grupo Clean Field (Ceratti) - Envio todo 2º dia útil Data base: Mês anterior Obs.: Relatório para reunião de alinhamento, encaminhar invite</t>
  </si>
  <si>
    <t>Relatório Mensal - Grupo Clean Field (Ceratti) - Envio todo 2º dia útil Data base: Mês anterior Obs.: Relatório unificado por aba.</t>
  </si>
  <si>
    <t>Relatório Trimestral - Grupo Clean Field (Ceratti) - Envio todo 2º dia útil Data base: Mês anterior Obs.: Relatório em inglês, unificado por aba.</t>
  </si>
  <si>
    <t>Relatório Mensal - Grupo Clean Field (Ceratti) - Envio todo 2º dia útil Data base: Mês anterior Obs.: Relatório em PDF</t>
  </si>
  <si>
    <t>Relatório Mensal - Grupo Fitcard - Envio todo dia 05 Data base: Mês anterior</t>
  </si>
  <si>
    <t>2026-06-23</t>
  </si>
  <si>
    <t>Relatório Mensal - Fleury / Confiance (Processos prioritários) - Envio todo dia 23 Data base: referente ao mês de envio</t>
  </si>
  <si>
    <t>Relatório Mensal - Grupo Freudenberg Geral - Envio todo dia 28 Data base: Mês de envio Obs.: Relatório Atualizado no IManage, sem casos da Vibracoustic e Tributário Judicial</t>
  </si>
  <si>
    <t>Compliance</t>
  </si>
  <si>
    <t>Contratual</t>
  </si>
  <si>
    <t>Societário</t>
  </si>
  <si>
    <t>Relatório Mensal - Grupo GS Inima - Envio todo dia 20 Data base: Mês de envio</t>
  </si>
  <si>
    <t>Relatório Mensal - Grupo Gplex - Envio todo dia 09 Data base: Mês anterior Obs: Grupo (NÃO)</t>
  </si>
  <si>
    <t>Relatório Mensal - Grupo Hortifrutti - Envio todo dia 05 Data base: Mês anterior</t>
  </si>
  <si>
    <t>Relatório Mensal - Grupo LSL - Envio todo dia 20 Data base: Mês de envio Obs.: Logística Sumaré, CCI, LSL Transportes, LSL Transportes da Amazônia</t>
  </si>
  <si>
    <t>Relatório Mensal - Grupo Oggi - Envio todo dia 30 Data base: Mês de envio Obs.: Barra Alimentos, Flucap, Leve Gelo, Mauad, Oggi Alimentos, Oggi Sorvetes, Só Gelo</t>
  </si>
  <si>
    <t>Relatório Mensal - Grupo RVM - Envio todo dia 10 Data base: Mês anterior</t>
  </si>
  <si>
    <t>Relatório Mensal - Grupo Sforza - Envio todo dia 10 Data base: Mês de envio Obs.: (CLI_03UltAndProc_Cont_030) - PR_123 Atualizar - Atenção com o modelo enviado anterior Verificar no Imanage</t>
  </si>
  <si>
    <t>Relatório Trimestral - Grupo Toniello - Envio todo dia 09 Data base: Mês de envio</t>
  </si>
  <si>
    <t>Relatório Mensal - Guangan - Envio todo dia 15 Data base: Mês de envio</t>
  </si>
  <si>
    <t>Relatório Mensal - Guerra Implementos - Envio todo dia 30 Data base: Mês de envio</t>
  </si>
  <si>
    <t>Relatório Mensal - Hanna - Envio todo dia 02 Data base: Mês de envio</t>
  </si>
  <si>
    <t>Relatório Mensal - HDN - Envio todo dia 06. Data base: Mês anterior Obs: Grupo (NÃO)</t>
  </si>
  <si>
    <t>2026-07-23</t>
  </si>
  <si>
    <t>Relatório Mensal - HM Clause - Envio todo dia 24 Data base: Mês de envio Obs.: Relatório em Português e Inglês</t>
  </si>
  <si>
    <t>Relatório Mensal - HM Clause - Envio todo dia 15 Data base: Mês anterior</t>
  </si>
  <si>
    <t>Relatório Mensal - Hanier - Envio todo dia 06 Data base: Mês de envio</t>
  </si>
  <si>
    <t>Relatório Mensal - Hanier - Envio todo dia 06. Data base: Mês anterior. Obs: Grupo (NÃO)</t>
  </si>
  <si>
    <t>Relatório Trimestral - Herbicat - Envio todo dia 15 Data base: Mês de envio</t>
  </si>
  <si>
    <t>Relatório Mensal - Heringer - Envio todo dia 20 Data base: Mês de envio Obs.: Enviar em e-mail separado</t>
  </si>
  <si>
    <t>Relatório Mensal - IOB/SAGE (AO3) - Envio toda segunda quinta de cada mês Data base: Mês de envio</t>
  </si>
  <si>
    <t>Relatório Mensal - Iberfrutas - Envio todo dia 10 Data base: Mês anterior</t>
  </si>
  <si>
    <t>Relatório Mensal - Envio todo dia . Data base: Mês anterior. Obs: Grupo ()</t>
  </si>
  <si>
    <t>Relatório Mensal - Ingredion - Envio todo dia 05 Data base: Mês anterior</t>
  </si>
  <si>
    <t>2026-08-14</t>
  </si>
  <si>
    <t>Relatório Atualização Power BI - Ingredion - Envio todo dia 15 Data base: Meses anteriores Obs: Grupo (NÃO)</t>
  </si>
  <si>
    <t>2026-06-03</t>
  </si>
  <si>
    <t>Relatório Mensal - Ingredion Brasil - Envio todo dia 05. Data base: Mês anterior Obs: Grupo (NÃO)</t>
  </si>
  <si>
    <t>Relatório Mensal - Insider - Envio todo dia 10 Data base: Mês anterior</t>
  </si>
  <si>
    <t>Relatório Mensal - Intercement - Envio todo 5º dia útil Data base: Mês anterior</t>
  </si>
  <si>
    <t>Relatório Mensal - Ipackchem - Envio todo dia 09. Data base: Mês de envio Obs: Grupo (sim)</t>
  </si>
  <si>
    <t>Relatório Mensal - Isabel da Cunha - Envio todo dia 10 Data base: Mês anterior</t>
  </si>
  <si>
    <t>Relatório Mensal - Isat (Inspand) - Envio todo dia 07 Data base: Mês de envio</t>
  </si>
  <si>
    <t>Relatório Trimestral - JA Saúde Animal - Envio todo dia 18 Data base: Mês de envio</t>
  </si>
  <si>
    <t>2026-09-09</t>
  </si>
  <si>
    <t>Relatório Trimestral - JCB - Envio todo dia 09 Data base: Mês de envio</t>
  </si>
  <si>
    <t>Relatório Trimestral - JCB - Envio todo dia 09 Data base: Mês de envio Obs.: Enviar em e-mail separado</t>
  </si>
  <si>
    <t>Relatório Mensal - Jacobsen - Envio todo dia 10 Data base: Mês anterior</t>
  </si>
  <si>
    <t>Relatório Mensal - Jaguar - Envio todo dia 07 Data base: Mês anterior Obs: Grupo (NÃO)</t>
  </si>
  <si>
    <t>Relatório Mensal - João Paulo de Carvalho - Envio todo dia 07. Data base: Mês anterior. Obs: Grupo (NÃO)</t>
  </si>
  <si>
    <t>Relatório Mensal - Kadant - Envio todo dia 10 Data base: Mês anterior</t>
  </si>
  <si>
    <t>Relatório Mensal - Kadant - Envio todo dia 09 Data base: Mês anterior Obs: Grupo (NÃO)</t>
  </si>
  <si>
    <t>Relatório Mensal - Kennametal - Envio todo dia 24 Data base: Mês de envio Obs.: Enviar junto com Tributário Administrativo</t>
  </si>
  <si>
    <t>Relatório Mensal - Kennametal - Envio todo dia 24 Data base: Mês de envio</t>
  </si>
  <si>
    <t>Relatório Mensal - Metalinox - Envio todo dia 09 Data base: Mês anterior</t>
  </si>
  <si>
    <t>Relatório Kion Comitê - Envio todo dia 10 Data base: referente ao mês Anterior Obs: Grupo ( SIM) - Cliente CX</t>
  </si>
  <si>
    <t>2026-12-18</t>
  </si>
  <si>
    <t>Relatório a cada 4 meses - Kion Gerencial - Envio todo dia 20 Data base: Mês anterior Obs: Grupo (SIM) - Cliente CX</t>
  </si>
  <si>
    <t>Relatório Mensal - Kion/Dematic - Envio todo dia 20 Data base: Mês de envio</t>
  </si>
  <si>
    <t>Relatório Mensal - Kion/Dematic - Envio todo dia 20 Data base: Mês de envio Obs.: Envio em e-mails separados.</t>
  </si>
  <si>
    <t>Relatório Mensal - Kion/Dematic - Envio todo dia 20 Data base: Mês de envio Obs.: Relatório em Inglês e Português, unificados por idioma.</t>
  </si>
  <si>
    <t>Relatório Mensal - KLUBER - Envio todo dia 03. Data base: Mês anterior. Obs: Grupo (SIM) - Cliente CX</t>
  </si>
  <si>
    <t>Relatório Mensal - LBR Engenharia - Envio todo dia 09 Data base: Mês anterior Obs: Grupo (SIM)</t>
  </si>
  <si>
    <t>Relatório Mensal - LSL - Envio todo dia 05. Data base: Mês de envio Obs: Grupo (SIM)</t>
  </si>
  <si>
    <t>Relatório Mensal - Laboratório Acliamção - Envio todo dia 30 Data base: Mês de envio</t>
  </si>
  <si>
    <t>Relatório Mensal - Laboratório Bio-Vet - Envio todo dia 05 Data base: Mês anterior</t>
  </si>
  <si>
    <t>Relatório Mensal - Laboratório Bio-Vet - Envio todo dia 05. Data base: Mês anterior. Obs: Grupo (SIM) - Cliente CX</t>
  </si>
  <si>
    <t>Relatório Mensal - Laboratório Confiance - Envio todo dia 09 Data base: Mês anterior</t>
  </si>
  <si>
    <t>Relatório Mensal - Laboratório Confiance - Envio todo dia 09 Data base: referente ao mês Anterior Obs: Grupo (NÃO)</t>
  </si>
  <si>
    <t>2026-07-22</t>
  </si>
  <si>
    <t>Relatório Bimestral - Labutare - Envio todo dia 25. Data base: Mês de envio Obs: Grupo (NÃO)</t>
  </si>
  <si>
    <t>Relatório Mensal - Leonardo Lean Lopes - Envio todo dia 10 Data base: Mês anterior</t>
  </si>
  <si>
    <t>Relatório Mensal - LongPing - Envio todo dia 13 Data base: Mês de envio</t>
  </si>
  <si>
    <t>Relatório Mensal - Longping - Envio todo dia 08. Data base: Mês anterior. Obs: Grupo (NÃO) - Cliente CX</t>
  </si>
  <si>
    <t>Relatório Mensal - M. Layer - Envio todo dia 08 Data base: Mês anterior</t>
  </si>
  <si>
    <t>Relatório Mensal - M.Layer - Envio todo dia 08. Data base: Mês anterior. Obs: Grupo (NÃO)</t>
  </si>
  <si>
    <t>Relatório Mensal - M2B Automotiv - Envio todo dia 10 Data base: Mês anterior</t>
  </si>
  <si>
    <t>Relatório Mensal - Maiz - Envio todo dia 074 Data base: Mês anterior</t>
  </si>
  <si>
    <t>Relatório Mensal - Macmillan - Envio todo dia 15 Data base: Mês de envio</t>
  </si>
  <si>
    <t>Relatório Mensal - Martin - Envio todo dia 06. Data base: Mês anterior. Obs: Grupo (NÃO)</t>
  </si>
  <si>
    <t>Relatório Mensal - MasterSense - Envio todo dia 25 Data base: Mês de envio</t>
  </si>
  <si>
    <t>Relatório Mensal - Max Gaudereto - Envio todo dia 10 Data base: Mês anterior</t>
  </si>
  <si>
    <t>Relatório Mensal - Mazars - Envio todo dia 15 Data base: Mês de envio Obs.: Relatório em excel e PDF.</t>
  </si>
  <si>
    <t>Relatório Mensal - Mega Utilidades - Envio todo dia 15 Data base: Mês anterior</t>
  </si>
  <si>
    <t>Relatório Mensal - Modera Engenharia - Envio todo dia 08 Data base: Mês anterior Obs: Grupo (NÃO)</t>
  </si>
  <si>
    <t>Relatório Mensal - Moinhos - Envio todo dia 10 Data base: Mês anterior</t>
  </si>
  <si>
    <t>Relatório Mensal - Momentive - Envio todo dia 15 Data base: Mês anterior</t>
  </si>
  <si>
    <t>Relatório Mensal - Momentive - Envio todo dia 02 Data base: Mês de envio</t>
  </si>
  <si>
    <t>Relatório Mensal - Mosca - Envio todo dia 05 Data base: Mês anterior</t>
  </si>
  <si>
    <t>Relatório Mensal - Mosca - Envio todo dia 05. Data base: Mês anterior. Obs: Grupo (NÃO)</t>
  </si>
  <si>
    <t>Relatório Mensal - Mr. Bey/Alibey - Envio todo dia 10 Data base: Mês anterior</t>
  </si>
  <si>
    <t>Relatório Mensal - Myralis - Envio todo dia 10 Data base: Mês anterior</t>
  </si>
  <si>
    <t>Relatório Bimestral - Máquinas Furlan - Envio todo dia 30 Data base: Mês de envio</t>
  </si>
  <si>
    <t>2026-08-20</t>
  </si>
  <si>
    <t>Relatório Trimestral - Móveis Província - Envio todo dia 20 Data base: Mês de envio</t>
  </si>
  <si>
    <t>Relatório Mensal - N.L. Energia Solar - Envio todo dia 08 Data base: referente ao mês Anterior</t>
  </si>
  <si>
    <t>Relatório Mensal - NSM - Envio todo dia 10 Data base: Mês anterior</t>
  </si>
  <si>
    <t>Relatório Mensal - Neotech - Envio todo dia 10 Data base: Mês anterior</t>
  </si>
  <si>
    <t>Relatório Mensal - Neovia - Envio todo dia 05 Data base: Mês de envio</t>
  </si>
  <si>
    <t>Relatório Trimestral - Neovia - Envio todo dia 15 Data base: Mês de envio</t>
  </si>
  <si>
    <t>Relatório Mensal - Nexira - Envio todo dia 10 Data base: Mês anterior Obs.: Envio em PDF, com resumo enviado pela área</t>
  </si>
  <si>
    <t>Relatório Mensal - Nick - Envio todo dia 08. Data base: Mês anterior. Obs: Grupo (SIM)</t>
  </si>
  <si>
    <t>Relatório Mensal - Nova Assist - Envio todo dia 15 Data base: Mês anterior</t>
  </si>
  <si>
    <t>Relatório Mensal - Novametal - Envio todo dia 10 Data base: Mês anterior</t>
  </si>
  <si>
    <t>Relatório Mensal - Ouro Fino - Envio todo dia 20 Data base: Mês de envio</t>
  </si>
  <si>
    <t>Relatório Mensal - Ouro Fino - Envio todo dia 20 Data base: Mês de envio Obs: Grupo (SIM)</t>
  </si>
  <si>
    <t>Relatório Mensal - PPG - Envio todo dia 06 Data base: Mês anterior</t>
  </si>
  <si>
    <t>Relatório Mensal - Padtec - Envio todo dia 15 Data base: Mês de envio</t>
  </si>
  <si>
    <t>2026-09-02</t>
  </si>
  <si>
    <t>Relatório Trimestral - Pedro Agroindustria - Envio todo dia 02 Data base: Mês de envio</t>
  </si>
  <si>
    <t>Relatório Mensal - Pedro Dalari - Envio todo dia 30 Data base: Mês de envio</t>
  </si>
  <si>
    <t>Relatório Mensal - Perfetti - Envio todo dia 05 Data base: Mês anterior</t>
  </si>
  <si>
    <t>Relatório Mensal - Petitos - Envio todo dia 10. Data base: Mês anterior. Obs: Grupo (NÃO)</t>
  </si>
  <si>
    <t>2026-08-10</t>
  </si>
  <si>
    <t>Relatório Trimestral - Plurinox - Envio todo dia 12 Data base: Mês de envio</t>
  </si>
  <si>
    <t>Relatório Mensal - Polidomi - Envio todo dia 20 Data base: Mês de envio</t>
  </si>
  <si>
    <t>Relatório Mensal - Portal - Envio todo dia 28 Data base: Mês de envio</t>
  </si>
  <si>
    <t>Relatório Mensal - Produtos Alimentícios Orlandi - Envio todo dia 10 Data base: Mês de envio</t>
  </si>
  <si>
    <t>Relatório Mensal - Produzir - Envio todo dia 30 Data base: Mês de envio</t>
  </si>
  <si>
    <t>Relatório Mensal - Proton - Envio todo dia 06 Data base: Mês anterior</t>
  </si>
  <si>
    <t>Relatório Mensal - Proton - Envio todo dia 06 Data base: Mês anterior Obs: Grupo (NÃO)</t>
  </si>
  <si>
    <t>Relatório Mensal - Pulvitec/Salatec - Envio todo dia 10 Data base: Mês anterior Obs.: Relatório em Inglês e Português</t>
  </si>
  <si>
    <t>Relatório Mensal - Pupee - Envio todo dia 10 Data base: Mês anterior</t>
  </si>
  <si>
    <t>Relatório Mensal - Pupee - Envio todo dia 10 Data base: Mês anterior Obs: Grupo (NÃO)</t>
  </si>
  <si>
    <t>Relatório Mensal - Real Moto Peças - Envio todo dia 08 Data base: Mês de envio</t>
  </si>
  <si>
    <t>Relatório Mensal - Rede Brasileira (Mundo Verde) - Envio todo dia 05 Data base: Mês anterior</t>
  </si>
  <si>
    <t>Relatório Mensal - Regina Coutinho - Envio todo dia 10. Data base: Mês anterior. Obs: Grupo (SIM)</t>
  </si>
  <si>
    <t>Relatório Mensal - Result Armazéns - Envio todo dia 10 Data base: Mês de envio</t>
  </si>
  <si>
    <t>Relatório Mensal - Revise - Todo dia 23 Data base: referente ao mês Anterior</t>
  </si>
  <si>
    <t>Relatório Trimestral - Risknow - Envio todo dia 09 Data base: referente ao mês Anterior Obs: Grupo ( SIM)</t>
  </si>
  <si>
    <t>Relatório Mensal - Roberto Batista da Silva - Envio todo dia 12. Data base: Mês anterior. Obs: Grupo (NÃO)</t>
  </si>
  <si>
    <t>Relatório Mensal - Rogério Grecco - Envio todo dia 03. Data base: Mês de envio Obs: Grupo (NÃO)</t>
  </si>
  <si>
    <t>Relatório Mensal - Rousselot - Envio todo dia 24 Data base: Mês de envio</t>
  </si>
  <si>
    <t>Relatório Mensal - Salitre Fertilizantes - Envio todo dia 20. Data base: Mês de envio Obs: Grupo (SIM)</t>
  </si>
  <si>
    <t>2026-09-03</t>
  </si>
  <si>
    <t>Relatório Trimestral - Samsung - Envio todo dia 05 Data base: Mês anterior</t>
  </si>
  <si>
    <t>Relatório Mensal - Sanmina - Envio todo dia 10 Data base: Mês anterior Obs.: Relatório em Inglês e Português.</t>
  </si>
  <si>
    <t>Relatório Trimestral - Santa Clara - Envio todo dia 04 Data base: Mês de envio</t>
  </si>
  <si>
    <t>Relatório Mensal - Scholle - Envio todo dia 23 Data base: Mês de envio Obs.: Relatório em Inglês e Português.</t>
  </si>
  <si>
    <t>Relatório Mensal - Sepam - Envio todo dia 20 Data base: referente ao mês de envio</t>
  </si>
  <si>
    <t>Relatório Mensal - Silgan - Envio todo dia 02 Data base: Mês de envio Obs.: Relatório em Inglês e Português</t>
  </si>
  <si>
    <t>Relatório Mensal - SILGAN - Envio todo dia 02. Data base: Mês anterior. Obs: Grupo (SIM) - Cliente CX. Português e Inglês.</t>
  </si>
  <si>
    <t>2026-08-18</t>
  </si>
  <si>
    <t>Relatório Trimestral - Silgan (Relatório gerencial Trimestral) - Envio todo dia 22. Data base: Mês de envio Obs: Grupo (SIM) - Cliente CX</t>
  </si>
  <si>
    <t>Relatório Mensal - Skytech - Envio todo dia 10 Data base: Mês anterior</t>
  </si>
  <si>
    <t>Relatório Trimestral - Soledade - Envio todo dia 20 Data base: Mês de envio</t>
  </si>
  <si>
    <t>Relatório Mensal - Somma - Envio todo dia 10 Data base: Mês de envio</t>
  </si>
  <si>
    <t>Relatório Mensal - Sólides - Envio todo dia 27 Data base: Mês de envio</t>
  </si>
  <si>
    <t>Relatório Mensal - Stracci - Envio todo dia 10 Data base: Mês anterior</t>
  </si>
  <si>
    <t>Relatório Mensal - Sun Ace - Envio todo dia 05 Data base: Mês anterior</t>
  </si>
  <si>
    <t>Relatório Mensal - Sun Ace - Envio todo dia 05 Data base: Mês anterior Obs: Grupo (NÃO)</t>
  </si>
  <si>
    <t>Relatório Mensal - Sun Ace - Envio todo dia 03. Data base: Mês anterior. Obs: Grupo (NÃO)</t>
  </si>
  <si>
    <t>Relatório Mensal - Suprir - Envio todo dia 20 Data base: Mês de envio</t>
  </si>
  <si>
    <t>2026-09-08</t>
  </si>
  <si>
    <t>Relatório Mensal - Suprir - Envio todo dia 08 Data base: Mês de envio Obs: Grupo (NÃO)</t>
  </si>
  <si>
    <t>Relatório Mensal - Suprir - Envio todo dia 09. Data base: Mês anterior Obs: Grupo (NÃO)</t>
  </si>
  <si>
    <t>Relatório Mensal - Surtec (Grupo Freudenberg) - Envio todo dia 10 Data base: Mês anterior Obs: Grupo (SIM) - Cliente CX</t>
  </si>
  <si>
    <t>Relatório Mensal - Rogério Grecco - Envio todo dia 03. Data base: Mês de envio Obs: Grupo (SIM) - Cliente CX</t>
  </si>
  <si>
    <t>Relatório Mensal - Sérgio Paulo Fernandes Mauad - Envio todo dia 10 Data base: Mês anterior</t>
  </si>
  <si>
    <t>Relatório Mensal - Sólides - Envio todo dia 25 Data base: Mês de envio</t>
  </si>
  <si>
    <t>Relatório Mensal - TCA / Horiba - Envio todo dia 01 Data base: Mês de envio Obs: Grupo (NÃO)</t>
  </si>
  <si>
    <t>Relatório Mensal - TPF - Envio todo dia 06. Data base: Mês anterior. Obs: Grupo (NÃO)</t>
  </si>
  <si>
    <t>Relatório Trimestral - TUV RHEINLAND - Envio todo dia 15 Data base: Mês de envio Obs: Grupo (NÃO)</t>
  </si>
  <si>
    <t>Relatório Mensal - TVH Peças Brasil - Envio todo dia 09 Data base: Mês anterior Obs: Grupo (SIM)</t>
  </si>
  <si>
    <t>Relatório Mensal - Tagma - Envio todo dia 08 Data base: Mês anterior Obs: Grupo (SIM)</t>
  </si>
  <si>
    <t>Relatório Mensal - Tech Filter - Envio todo dia 08 Data base: Mês anterior Obs: Grupo (NÃO)</t>
  </si>
  <si>
    <t>Relatório Mensal - Tecno Tools - Envio todo dia 10 Data base: Mês de envio Obs: Grupo (NÃO)</t>
  </si>
  <si>
    <t>Relatório Mensal - Tecno Tools - Envio todo dia 28. Data base: Mês de envio Obs: Grupo (NÃO)</t>
  </si>
  <si>
    <t>Relatório Mensal - Tennis Sports - Envio todo dia 10 Data base: Mês de envio Obs: Grupo (NÃO)</t>
  </si>
  <si>
    <t>Relatório Mensal - Thais Saliba - Envio todo dia 20 Data base: Mês de envio</t>
  </si>
  <si>
    <t>Relatório Mensal - Thebe (Ebara)- Envio todo dia 04 Data base: Mês anterior Obs: Grupo (SIM)</t>
  </si>
  <si>
    <t>Relatório Mensal - Transdata - Envio todo dia 24 Data base: Mês de envio</t>
  </si>
  <si>
    <t>Relatório Mensal - Transdata - Envio todo dia 07 Data base: Mês anterior Obs: Grupo (SIM)</t>
  </si>
  <si>
    <t>Relatório Mensal - Porto Ferreira - Envio todo dia 10 Data base: Mês anterior Obs: Grupo (NÃO)</t>
  </si>
  <si>
    <t>Relatório Mensal - Transportadora Steck - Envio todo dia 30 Data base: Mês de envio</t>
  </si>
  <si>
    <t>Relatório Mensal - Transportadora Veronese - Envio todo dia 27 Data base: Mês de envio</t>
  </si>
  <si>
    <t>Relatório Trimestral - UCBVET - Envio todo dia 16 Data base: Mês de envio</t>
  </si>
  <si>
    <t>Relatório Mensal - UPL - Envio todo dia 10 Data base: Mês de envio Obs: Grupo (SIM)</t>
  </si>
  <si>
    <t>Relatório trimestral - Labor Report UPL - Envio todo dia 15 Data base: Mês anterior Obs: Grupo (SIM)</t>
  </si>
  <si>
    <t>Relatório Mensal - Unimed - Envio todo dia 05 Data base: Mês de envio Obs: Grupo (NÃO) - Cliente CX</t>
  </si>
  <si>
    <t>Relatório Mensal - Unimed Custas - Envio todo dia 07. Data base: Mês anterior. Obs: Grupo (NÃO) - Cliente CX</t>
  </si>
  <si>
    <t>Relatório Mensal - Unimed Depositos - Envio todo dia 07. Data base: Mês anterior. Obs: Grupo (NÃO) - Cliente CX</t>
  </si>
  <si>
    <t>Relatório Mensal - Unimed Financeiro - Envio todo dia 07. Data base: Mês anterior. Obs: Grupo (NÃO) - Cliente CX</t>
  </si>
  <si>
    <t>Relatório Mensal - Unimoboli - Envio todo dia 25 Data base: Mês de envio</t>
  </si>
  <si>
    <t>Relatório Mensal - Uniron/Autimex - Envio todo dia 25 Data base: Mês de envio</t>
  </si>
  <si>
    <t>Relatório Mensal - Univar - Envio todo dia 08 Data base: Mês anterior Obs: Grupo (SIM)</t>
  </si>
  <si>
    <t>Relatório Mensal - VINDI - Envio todo dia 20 Data base: Mês de envio</t>
  </si>
  <si>
    <t>Relatório Mensal - VIP Transportes - Envio todo dia 24 Data base: Mês de envio</t>
  </si>
  <si>
    <t>Relatório Mensal - VPN Comunicação - Envio todo dia 25 Data base: Mês de envio</t>
  </si>
  <si>
    <t>Relatório Mensal - VR Software - Envio todo dia 09 Data base: Mês anterior Obs: Grupo (SIM)</t>
  </si>
  <si>
    <t>2026-06-01</t>
  </si>
  <si>
    <t>Relatório Mensal - Vento Haragano (JGL, Jorlus e Brazilian) - Envio todo dia 01. Data base: Mês de envio Obs: Grupo (NÃO)</t>
  </si>
  <si>
    <t>Relatório Mensal - Vermeer - Envio todo dia 05 Data base: Mês anterior Obs: Grupo (SIM)</t>
  </si>
  <si>
    <t>Relatório Mensal - Vetnil - Envio todo dia 15 Data base: Mês anterior Obs: Grupo (SIM) - Cliente CX</t>
  </si>
  <si>
    <t>Relatório Mensal - Viapol - Envio todo dia 01 Data base: referente ao mês Anterior Obs: Grupo ( SIM)</t>
  </si>
  <si>
    <t>RJ/Bancário</t>
  </si>
  <si>
    <t>Relatório Mensal - Viapol - RJ/Bancáro - Envio todo dia 01 Data base: referente ao mês Anterior Obs: Grupo ( SIM)</t>
  </si>
  <si>
    <t>Relatório Mensal - Viapol - Envio todo dia 20 Data base: referente ao mês Anterior Obs: Grupo ( SIM)</t>
  </si>
  <si>
    <t>Relatório Mensal - Viapol – "Autora" – Cível - Envio todo dia 01 Data base: referente ao mês Anterior Obs: Grupo (SIM)</t>
  </si>
  <si>
    <t>Relatório Mensal - Viapol - Ré - Envio todo dia 20 Data base: Mês de envio</t>
  </si>
  <si>
    <t>Relatório Trimestral - Viapol Ré - Cível - Envio todo dia 15 Data base: Mês de envio Obs: Grupo (SIM)</t>
  </si>
  <si>
    <t>Relatório Trimestral - Viapol Inglês (Ré) - Envio todo dia 15 Data base: Mês de envio Obs: Grupo (SIM)</t>
  </si>
  <si>
    <t>2026-08-13</t>
  </si>
  <si>
    <t>Relatório Trimestral - Viapol (Inglês) - Envio todo dia 15. Data base: Mês anterior. Obs: Grupo (SIM)</t>
  </si>
  <si>
    <t>Relatório Trimestral - Viapol - Envio todo dia 20. Data base: Mês anterior. Obs: Grupo (sim)</t>
  </si>
  <si>
    <t>Relatório Mensal - Vibracoustic - Envio todo dia 28 Data base: Mês de envio Obs.: Relatório atualizado no IManage.</t>
  </si>
  <si>
    <t>Relatório Mensal - Vibracoustic Interno - Envio todo dia 30 Data base: referente ao mês Anterior Obs: Grupo ( SIM) - Cliente CX</t>
  </si>
  <si>
    <t>Relatório Mensal - Villani Alphaville - Envio todo dia 08. Data base: Mês anterior. Obs: Grupo (Não) -</t>
  </si>
  <si>
    <t>Relatório Mensal - Vilmorin - Envio todo dia 24 Data base: Mês de envio Obs.: Relatório em Inglês e Português.</t>
  </si>
  <si>
    <t>Relatório Mensal - Waldyr Lima - Envio todo dia 05 Data base: Mês de envio Obs: Grupo (NÃO)</t>
  </si>
  <si>
    <t>2026-08-05</t>
  </si>
  <si>
    <t>Relatório Bimestral - Weme - Envio todo dia 08. Data base: Mês de envio Obs: Grupo (NÃO)</t>
  </si>
  <si>
    <t>Relatório Mensal - Woodward - Envio todo dia 10. Data base: Mês anterior. Obs: Grupo (NÃO)</t>
  </si>
  <si>
    <t>Relatório Mensal - XCelis - Envio todo dia 09 Data base: referente ao mês de envio Obs: Grupo ( NÃO)</t>
  </si>
  <si>
    <t>Relatório Mensal - Yessinergy - Envio todo dia 10 Data base: Mês de envio Obs: Grupo (SIM)</t>
  </si>
  <si>
    <t>Relatório Mensal - Yessinergy - Envio todo dia 15 Data base: Mês de envio Obs: Grupo (SIM)</t>
  </si>
  <si>
    <t>Relatório Mensal - Yessinergy - Envio todo dia 010 Data base: Mês anterior Obs: Grupo (SIM)</t>
  </si>
  <si>
    <t>Relatório Trimestral - Yessinergy - Envio todo dia 10 Data base: Mês anterior Obs: Grupo (SIM)</t>
  </si>
  <si>
    <t>Relatório Mensal - Âncora Chumbadores - Envio todo dia 09 Data base: Mês anterior Obs: Grupo (NÃO)</t>
  </si>
  <si>
    <t xml:space="preserve">  ENVIO TRABALHISTA — FLUXO DIFERENCIADO</t>
  </si>
  <si>
    <t xml:space="preserve">  Clientes cujo relatório Trabalhista é encaminhado diretamente pela área</t>
  </si>
  <si>
    <t xml:space="preserve">  CLIENTES CX — GESTÃO ESTRATÉGICA</t>
  </si>
  <si>
    <t xml:space="preserve">  Clientes com Key Account dedicado · Envio coordenado com o C.J.</t>
  </si>
  <si>
    <t>Empresa CX</t>
  </si>
  <si>
    <t>Key Account</t>
  </si>
  <si>
    <t>Cliente (cadastro)</t>
  </si>
  <si>
    <t>LyondellBasell</t>
  </si>
  <si>
    <t>Ceratti</t>
  </si>
  <si>
    <t>Freudenberg (Vibracustic)</t>
  </si>
  <si>
    <t>Arcel</t>
  </si>
  <si>
    <t>Biovet</t>
  </si>
  <si>
    <t>Oggi</t>
  </si>
  <si>
    <t>HM Clause (Vilmorin)</t>
  </si>
  <si>
    <t>Kion Group</t>
  </si>
  <si>
    <t>Longping High-Tech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</si>
</sst>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6D6E71"/>
      <name val="Calibri"/>
      <family val="2"/>
    </font>
    <font>
      <b/>
      <sz val="9"/>
      <color rgb="FFFFFFFF"/>
      <name val="Calibri"/>
      <family val="2"/>
    </font>
    <font>
      <b/>
      <sz val="18"/>
      <color rgb="FF004561"/>
      <name val="Calibri"/>
      <family val="2"/>
    </font>
    <font>
      <b/>
      <sz val="18"/>
      <color rgb="FF145A32"/>
      <name val="Calibri"/>
      <family val="2"/>
    </font>
    <font>
      <b/>
      <sz val="18"/>
      <color rgb="FF0A4A52"/>
      <name val="Calibri"/>
      <family val="2"/>
    </font>
    <font>
      <b/>
      <sz val="18"/>
      <color rgb="FF2D2669"/>
      <name val="Calibri"/>
      <family val="2"/>
    </font>
    <font>
      <b/>
      <sz val="18"/>
      <color rgb="FF282A2B"/>
      <name val="Calibri"/>
      <family val="2"/>
    </font>
    <font>
      <b/>
      <sz val="18"/>
      <color rgb="FF009EDB"/>
      <name val="Calibri"/>
      <family val="2"/>
    </font>
    <font>
      <b/>
      <sz val="9"/>
      <color rgb="FF004561"/>
      <name val="Calibri"/>
      <family val="2"/>
    </font>
    <font>
      <sz val="9"/>
      <color rgb="FF282A2B"/>
      <name val="Calibri"/>
      <family val="2"/>
    </font>
    <font>
      <b/>
      <sz val="9"/>
      <color rgb="FF145A32"/>
      <name val="Calibri"/>
      <family val="2"/>
    </font>
    <font>
      <b/>
      <sz val="9"/>
      <color rgb="FF0A4A52"/>
      <name val="Calibri"/>
      <family val="2"/>
    </font>
    <font>
      <b/>
      <sz val="9"/>
      <color rgb="FF2D2669"/>
      <name val="Calibri"/>
      <family val="2"/>
    </font>
    <font>
      <b/>
      <sz val="9"/>
      <color rgb="FF6D6E71"/>
      <name val="Calibri"/>
      <family val="2"/>
    </font>
    <font>
      <i/>
      <sz val="8"/>
      <color rgb="FF6D6E71"/>
      <name val="Calibri"/>
      <family val="2"/>
    </font>
    <font>
      <b/>
      <sz val="13"/>
      <color rgb="FFFFFFFF"/>
      <name val="Calibri"/>
      <family val="2"/>
    </font>
    <font>
      <b/>
      <sz val="10"/>
      <color rgb="FF004561"/>
      <name val="Calibri"/>
      <family val="2"/>
    </font>
    <font>
      <sz val="9"/>
      <color rgb="FF6D6E71"/>
      <name val="Calibri"/>
      <family val="2"/>
    </font>
    <font>
      <sz val="9"/>
      <color rgb="FF004561"/>
      <name val="Calibri"/>
      <family val="2"/>
    </font>
    <font>
      <b/>
      <sz val="9"/>
      <name val="Calibri"/>
      <family val="2"/>
    </font>
    <font>
      <b/>
      <sz val="10"/>
      <color rgb="FF145A32"/>
      <name val="Calibri"/>
      <family val="2"/>
    </font>
    <font>
      <b/>
      <sz val="10"/>
      <color rgb="FF0A4A52"/>
      <name val="Calibri"/>
      <family val="2"/>
    </font>
    <font>
      <b/>
      <sz val="10"/>
      <color rgb="FF2D2669"/>
      <name val="Calibri"/>
      <family val="2"/>
    </font>
    <font>
      <b/>
      <sz val="10"/>
      <color rgb="FF6D6E71"/>
      <name val="Calibri"/>
      <family val="2"/>
    </font>
    <font>
      <sz val="8"/>
      <color rgb="FF0A4A52"/>
      <name val="Calibri"/>
      <family val="2"/>
    </font>
    <font>
      <sz val="8"/>
      <color rgb="FF145A32"/>
      <name val="Calibri"/>
      <family val="2"/>
    </font>
    <font>
      <sz val="8"/>
      <color rgb="FF6D6E71"/>
      <name val="Calibri"/>
      <family val="2"/>
    </font>
    <font>
      <sz val="8"/>
      <color rgb="FF2D2669"/>
      <name val="Calibri"/>
      <family val="2"/>
    </font>
    <font>
      <sz val="8"/>
      <color rgb="FF00456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9EDB"/>
      </patternFill>
    </fill>
    <fill>
      <patternFill patternType="solid">
        <fgColor rgb="FFF3F3F3"/>
      </patternFill>
    </fill>
    <fill>
      <patternFill patternType="solid">
        <fgColor rgb="FF004561"/>
      </patternFill>
    </fill>
    <fill>
      <patternFill patternType="solid">
        <fgColor rgb="FFE5F5FC"/>
      </patternFill>
    </fill>
    <fill>
      <patternFill patternType="solid">
        <fgColor rgb="FF145A32"/>
      </patternFill>
    </fill>
    <fill>
      <patternFill patternType="solid">
        <fgColor rgb="FFEBF5E0"/>
      </patternFill>
    </fill>
    <fill>
      <patternFill patternType="solid">
        <fgColor rgb="FF0A4A52"/>
      </patternFill>
    </fill>
    <fill>
      <patternFill patternType="solid">
        <fgColor rgb="FFEBF7F9"/>
      </patternFill>
    </fill>
    <fill>
      <patternFill patternType="solid">
        <fgColor rgb="FF2D2669"/>
      </patternFill>
    </fill>
    <fill>
      <patternFill patternType="solid">
        <fgColor rgb="FFEDEAF8"/>
      </patternFill>
    </fill>
    <fill>
      <patternFill patternType="solid">
        <fgColor rgb="FF6D6E71"/>
      </patternFill>
    </fill>
    <fill>
      <patternFill patternType="solid">
        <fgColor rgb="FFF8F8F8"/>
      </patternFill>
    </fill>
    <fill>
      <patternFill patternType="solid">
        <fgColor rgb="FF111D3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6" fillId="3" borderId="0" xfId="0" applyFont="1" applyFill="1"/>
    <xf numFmtId="0" fontId="0" fillId="0" borderId="0" xfId="0"/>
    <xf numFmtId="0" fontId="11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14" borderId="0" xfId="0" applyFont="1" applyFill="1"/>
    <xf numFmtId="0" fontId="3" fillId="4" borderId="0" xfId="0" applyFont="1" applyFill="1"/>
    <xf numFmtId="0" fontId="17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5" fillId="13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0" fontId="22" fillId="7" borderId="0" xfId="0" applyFont="1" applyFill="1" applyAlignment="1">
      <alignment horizontal="left" vertical="center"/>
    </xf>
    <xf numFmtId="0" fontId="24" fillId="11" borderId="0" xfId="0" applyFont="1" applyFill="1" applyAlignment="1">
      <alignment horizontal="left" vertical="center"/>
    </xf>
    <xf numFmtId="0" fontId="23" fillId="9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tabSelected="1" workbookViewId="0">
      <selection activeCell="A20" sqref="A20:F20"/>
    </sheetView>
  </sheetViews>
  <sheetFormatPr defaultRowHeight="14.4" x14ac:dyDescent="0.3"/>
  <cols>
    <col min="1" max="1" width="3" customWidth="1"/>
    <col min="2" max="2" width="36" customWidth="1"/>
    <col min="3" max="3" width="14" customWidth="1"/>
    <col min="4" max="4" width="3" customWidth="1"/>
    <col min="5" max="5" width="36" customWidth="1"/>
    <col min="6" max="6" width="14" customWidth="1"/>
  </cols>
  <sheetData>
    <row r="1" spans="1:6" ht="37.950000000000003" customHeight="1" x14ac:dyDescent="0.3">
      <c r="A1" s="56" t="s">
        <v>0</v>
      </c>
      <c r="B1" s="55"/>
      <c r="C1" s="55"/>
      <c r="D1" s="55"/>
      <c r="E1" s="55"/>
      <c r="F1" s="55"/>
    </row>
    <row r="2" spans="1:6" ht="16.05" customHeight="1" x14ac:dyDescent="0.3">
      <c r="A2" s="54" t="s">
        <v>1</v>
      </c>
      <c r="B2" s="55"/>
      <c r="C2" s="55"/>
      <c r="D2" s="55"/>
      <c r="E2" s="55"/>
      <c r="F2" s="55"/>
    </row>
    <row r="3" spans="1:6" ht="7.95" customHeight="1" x14ac:dyDescent="0.3"/>
    <row r="4" spans="1:6" ht="19.95" customHeight="1" x14ac:dyDescent="0.3">
      <c r="A4" s="59" t="s">
        <v>2</v>
      </c>
      <c r="B4" s="52"/>
      <c r="C4" s="52"/>
      <c r="D4" s="52"/>
      <c r="E4" s="52"/>
      <c r="F4" s="52"/>
    </row>
    <row r="5" spans="1:6" ht="19.95" customHeight="1" x14ac:dyDescent="0.3">
      <c r="A5" s="57" t="s">
        <v>3</v>
      </c>
      <c r="B5" s="52"/>
      <c r="C5" s="52"/>
      <c r="D5" s="52"/>
      <c r="E5" s="52"/>
      <c r="F5" s="52"/>
    </row>
    <row r="6" spans="1:6" ht="28.05" customHeight="1" x14ac:dyDescent="0.3">
      <c r="B6" s="1" t="s">
        <v>4</v>
      </c>
      <c r="C6" s="2">
        <f>COUNTIF('Painel Geral'!B4:B258,"Trabalhista")</f>
        <v>55</v>
      </c>
      <c r="E6" s="3" t="s">
        <v>5</v>
      </c>
      <c r="F6" s="4">
        <f>COUNTIF('Painel Geral'!F4:F258,"C.J.")</f>
        <v>160</v>
      </c>
    </row>
    <row r="7" spans="1:6" ht="28.05" customHeight="1" x14ac:dyDescent="0.3">
      <c r="B7" s="5" t="s">
        <v>6</v>
      </c>
      <c r="C7" s="6">
        <f>COUNTIF('Painel Geral'!B4:B258,"Multi-área · Trabalhista")</f>
        <v>22</v>
      </c>
      <c r="E7" s="1" t="s">
        <v>7</v>
      </c>
      <c r="F7" s="2">
        <f>COUNTIF('Painel Geral'!F4:F258,"Trabalhista")</f>
        <v>67</v>
      </c>
    </row>
    <row r="8" spans="1:6" ht="28.05" customHeight="1" x14ac:dyDescent="0.3">
      <c r="B8" s="7" t="s">
        <v>8</v>
      </c>
      <c r="C8" s="8">
        <f>COUNTIF('Painel Geral'!B4:B258,"Multi-área · C.J.")</f>
        <v>48</v>
      </c>
      <c r="E8" s="5" t="s">
        <v>9</v>
      </c>
      <c r="F8" s="6">
        <f>COUNTIF('Painel Geral'!F4:F258,"C.J. + Trabalhista")</f>
        <v>28</v>
      </c>
    </row>
    <row r="9" spans="1:6" ht="28.05" customHeight="1" x14ac:dyDescent="0.3">
      <c r="B9" s="9" t="s">
        <v>10</v>
      </c>
      <c r="C9" s="10">
        <f>COUNTIF('Painel Geral'!B4:B258,"Área única")</f>
        <v>94</v>
      </c>
      <c r="E9" s="11" t="s">
        <v>11</v>
      </c>
      <c r="F9" s="12">
        <f>COUNTA('Detalhe Completo'!A4:A451)</f>
        <v>448</v>
      </c>
    </row>
    <row r="10" spans="1:6" ht="28.05" customHeight="1" x14ac:dyDescent="0.3">
      <c r="B10" s="11" t="s">
        <v>12</v>
      </c>
      <c r="C10" s="12">
        <f>COUNTA('Painel Geral'!A4:A258)</f>
        <v>255</v>
      </c>
    </row>
    <row r="11" spans="1:6" ht="7.95" customHeight="1" x14ac:dyDescent="0.3"/>
    <row r="12" spans="1:6" ht="19.95" customHeight="1" x14ac:dyDescent="0.3">
      <c r="A12" s="58" t="s">
        <v>13</v>
      </c>
      <c r="B12" s="52"/>
      <c r="C12" s="52"/>
      <c r="D12" s="52"/>
      <c r="E12" s="52"/>
      <c r="F12" s="52"/>
    </row>
    <row r="13" spans="1:6" ht="19.95" customHeight="1" x14ac:dyDescent="0.3">
      <c r="B13" s="13" t="s">
        <v>14</v>
      </c>
      <c r="C13" s="53" t="s">
        <v>15</v>
      </c>
      <c r="D13" s="52"/>
      <c r="E13" s="52"/>
      <c r="F13" s="52"/>
    </row>
    <row r="14" spans="1:6" ht="19.95" customHeight="1" x14ac:dyDescent="0.3">
      <c r="B14" s="14" t="s">
        <v>4</v>
      </c>
      <c r="C14" s="53" t="s">
        <v>16</v>
      </c>
      <c r="D14" s="52"/>
      <c r="E14" s="52"/>
      <c r="F14" s="52"/>
    </row>
    <row r="15" spans="1:6" ht="19.95" customHeight="1" x14ac:dyDescent="0.3">
      <c r="B15" s="15" t="s">
        <v>6</v>
      </c>
      <c r="C15" s="53" t="s">
        <v>17</v>
      </c>
      <c r="D15" s="52"/>
      <c r="E15" s="52"/>
      <c r="F15" s="52"/>
    </row>
    <row r="16" spans="1:6" ht="19.95" customHeight="1" x14ac:dyDescent="0.3">
      <c r="B16" s="16" t="s">
        <v>8</v>
      </c>
      <c r="C16" s="53" t="s">
        <v>18</v>
      </c>
      <c r="D16" s="52"/>
      <c r="E16" s="52"/>
      <c r="F16" s="52"/>
    </row>
    <row r="17" spans="1:6" ht="19.95" customHeight="1" x14ac:dyDescent="0.3">
      <c r="B17" s="17" t="s">
        <v>10</v>
      </c>
      <c r="C17" s="53" t="s">
        <v>19</v>
      </c>
      <c r="D17" s="52"/>
      <c r="E17" s="52"/>
      <c r="F17" s="52"/>
    </row>
    <row r="19" spans="1:6" ht="7.95" customHeight="1" x14ac:dyDescent="0.3"/>
    <row r="20" spans="1:6" ht="18" customHeight="1" x14ac:dyDescent="0.3">
      <c r="A20" s="51" t="s">
        <v>20</v>
      </c>
      <c r="B20" s="52"/>
      <c r="C20" s="52"/>
      <c r="D20" s="52"/>
      <c r="E20" s="52"/>
      <c r="F20" s="52"/>
    </row>
  </sheetData>
  <mergeCells count="11">
    <mergeCell ref="A1:F1"/>
    <mergeCell ref="A5:F5"/>
    <mergeCell ref="C16:F16"/>
    <mergeCell ref="C15:F15"/>
    <mergeCell ref="A12:F12"/>
    <mergeCell ref="A4:F4"/>
    <mergeCell ref="A20:F20"/>
    <mergeCell ref="C14:F14"/>
    <mergeCell ref="C13:F13"/>
    <mergeCell ref="A2:F2"/>
    <mergeCell ref="C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258"/>
  <sheetViews>
    <sheetView showGridLines="0" workbookViewId="0">
      <pane ySplit="3" topLeftCell="A147" activePane="bottomLeft" state="frozen"/>
      <selection pane="bottomLeft" activeCell="G182" sqref="G182"/>
    </sheetView>
  </sheetViews>
  <sheetFormatPr defaultRowHeight="14.4" x14ac:dyDescent="0.3"/>
  <cols>
    <col min="1" max="1" width="8" customWidth="1"/>
    <col min="2" max="2" width="24" customWidth="1"/>
    <col min="3" max="3" width="5" customWidth="1"/>
    <col min="4" max="4" width="44" customWidth="1"/>
    <col min="5" max="6" width="20" customWidth="1"/>
    <col min="7" max="7" width="48" customWidth="1"/>
    <col min="8" max="8" width="22" customWidth="1"/>
    <col min="9" max="9" width="10" customWidth="1"/>
  </cols>
  <sheetData>
    <row r="1" spans="1:9" ht="37.950000000000003" customHeight="1" x14ac:dyDescent="0.3">
      <c r="A1" s="60" t="s">
        <v>21</v>
      </c>
      <c r="B1" s="52"/>
      <c r="C1" s="52"/>
      <c r="D1" s="52"/>
      <c r="E1" s="52"/>
      <c r="F1" s="52"/>
      <c r="G1" s="52"/>
      <c r="H1" s="52"/>
      <c r="I1" s="52"/>
    </row>
    <row r="2" spans="1:9" ht="16.05" customHeight="1" x14ac:dyDescent="0.3">
      <c r="A2" s="61" t="s">
        <v>22</v>
      </c>
      <c r="B2" s="52"/>
      <c r="C2" s="52"/>
      <c r="D2" s="52"/>
      <c r="E2" s="52"/>
      <c r="F2" s="52"/>
      <c r="G2" s="52"/>
      <c r="H2" s="52"/>
      <c r="I2" s="52"/>
    </row>
    <row r="3" spans="1:9" ht="30" customHeight="1" x14ac:dyDescent="0.3">
      <c r="A3" s="18" t="s">
        <v>23</v>
      </c>
      <c r="B3" s="18" t="s">
        <v>24</v>
      </c>
      <c r="C3" s="18" t="s">
        <v>25</v>
      </c>
      <c r="D3" s="18" t="s">
        <v>26</v>
      </c>
      <c r="E3" s="18" t="s">
        <v>27</v>
      </c>
      <c r="F3" s="18" t="s">
        <v>28</v>
      </c>
      <c r="G3" s="18" t="s">
        <v>29</v>
      </c>
      <c r="H3" s="18" t="s">
        <v>30</v>
      </c>
      <c r="I3" s="18" t="s">
        <v>31</v>
      </c>
    </row>
    <row r="4" spans="1:9" ht="25.95" hidden="1" customHeight="1" x14ac:dyDescent="0.3">
      <c r="A4" s="19" t="s">
        <v>32</v>
      </c>
      <c r="B4" s="20" t="s">
        <v>33</v>
      </c>
      <c r="C4" s="21">
        <v>1</v>
      </c>
      <c r="D4" s="22" t="s">
        <v>34</v>
      </c>
      <c r="E4" s="23" t="s">
        <v>35</v>
      </c>
      <c r="F4" s="24" t="s">
        <v>36</v>
      </c>
      <c r="G4" s="25" t="s">
        <v>37</v>
      </c>
      <c r="H4" s="22" t="s">
        <v>38</v>
      </c>
      <c r="I4" s="26">
        <v>4</v>
      </c>
    </row>
    <row r="5" spans="1:9" ht="25.95" hidden="1" customHeight="1" x14ac:dyDescent="0.3">
      <c r="A5" s="19" t="s">
        <v>32</v>
      </c>
      <c r="B5" s="20" t="s">
        <v>33</v>
      </c>
      <c r="C5" s="27">
        <v>2</v>
      </c>
      <c r="D5" s="28" t="s">
        <v>39</v>
      </c>
      <c r="E5" s="23" t="s">
        <v>40</v>
      </c>
      <c r="F5" s="29" t="s">
        <v>41</v>
      </c>
      <c r="G5" s="28" t="s">
        <v>38</v>
      </c>
      <c r="H5" s="30" t="s">
        <v>41</v>
      </c>
      <c r="I5" s="26">
        <v>1</v>
      </c>
    </row>
    <row r="6" spans="1:9" ht="25.95" hidden="1" customHeight="1" x14ac:dyDescent="0.3">
      <c r="A6" s="19" t="s">
        <v>32</v>
      </c>
      <c r="B6" s="20" t="s">
        <v>33</v>
      </c>
      <c r="C6" s="21">
        <v>3</v>
      </c>
      <c r="D6" s="22" t="s">
        <v>42</v>
      </c>
      <c r="E6" s="23" t="s">
        <v>40</v>
      </c>
      <c r="F6" s="29" t="s">
        <v>41</v>
      </c>
      <c r="G6" s="22" t="s">
        <v>38</v>
      </c>
      <c r="H6" s="30" t="s">
        <v>41</v>
      </c>
      <c r="I6" s="26">
        <v>1</v>
      </c>
    </row>
    <row r="7" spans="1:9" ht="25.95" hidden="1" customHeight="1" x14ac:dyDescent="0.3">
      <c r="A7" s="19" t="s">
        <v>32</v>
      </c>
      <c r="B7" s="20" t="s">
        <v>33</v>
      </c>
      <c r="C7" s="27">
        <v>4</v>
      </c>
      <c r="D7" s="28" t="s">
        <v>43</v>
      </c>
      <c r="E7" s="23" t="s">
        <v>44</v>
      </c>
      <c r="F7" s="24" t="s">
        <v>36</v>
      </c>
      <c r="G7" s="25" t="s">
        <v>45</v>
      </c>
      <c r="H7" s="28" t="s">
        <v>38</v>
      </c>
      <c r="I7" s="26">
        <v>1</v>
      </c>
    </row>
    <row r="8" spans="1:9" ht="25.95" hidden="1" customHeight="1" x14ac:dyDescent="0.3">
      <c r="A8" s="19" t="s">
        <v>32</v>
      </c>
      <c r="B8" s="20" t="s">
        <v>33</v>
      </c>
      <c r="C8" s="21">
        <v>5</v>
      </c>
      <c r="D8" s="22" t="s">
        <v>46</v>
      </c>
      <c r="E8" s="23" t="s">
        <v>47</v>
      </c>
      <c r="F8" s="29" t="s">
        <v>41</v>
      </c>
      <c r="G8" s="22" t="s">
        <v>38</v>
      </c>
      <c r="H8" s="30" t="s">
        <v>41</v>
      </c>
      <c r="I8" s="26">
        <v>1</v>
      </c>
    </row>
    <row r="9" spans="1:9" ht="25.95" hidden="1" customHeight="1" x14ac:dyDescent="0.3">
      <c r="A9" s="19" t="s">
        <v>32</v>
      </c>
      <c r="B9" s="20" t="s">
        <v>33</v>
      </c>
      <c r="C9" s="27">
        <v>6</v>
      </c>
      <c r="D9" s="28" t="s">
        <v>48</v>
      </c>
      <c r="E9" s="23" t="s">
        <v>49</v>
      </c>
      <c r="F9" s="31" t="s">
        <v>9</v>
      </c>
      <c r="G9" s="25" t="s">
        <v>50</v>
      </c>
      <c r="H9" s="30" t="s">
        <v>41</v>
      </c>
      <c r="I9" s="26">
        <v>8</v>
      </c>
    </row>
    <row r="10" spans="1:9" ht="25.95" hidden="1" customHeight="1" x14ac:dyDescent="0.3">
      <c r="A10" s="19" t="s">
        <v>32</v>
      </c>
      <c r="B10" s="20" t="s">
        <v>33</v>
      </c>
      <c r="C10" s="21">
        <v>7</v>
      </c>
      <c r="D10" s="22" t="s">
        <v>51</v>
      </c>
      <c r="E10" s="23" t="s">
        <v>44</v>
      </c>
      <c r="F10" s="24" t="s">
        <v>36</v>
      </c>
      <c r="G10" s="25" t="s">
        <v>52</v>
      </c>
      <c r="H10" s="22" t="s">
        <v>38</v>
      </c>
      <c r="I10" s="26">
        <v>2</v>
      </c>
    </row>
    <row r="11" spans="1:9" ht="25.95" hidden="1" customHeight="1" x14ac:dyDescent="0.3">
      <c r="A11" s="19" t="s">
        <v>32</v>
      </c>
      <c r="B11" s="20" t="s">
        <v>33</v>
      </c>
      <c r="C11" s="27">
        <v>8</v>
      </c>
      <c r="D11" s="28" t="s">
        <v>53</v>
      </c>
      <c r="E11" s="23" t="s">
        <v>54</v>
      </c>
      <c r="F11" s="24" t="s">
        <v>36</v>
      </c>
      <c r="G11" s="25" t="s">
        <v>55</v>
      </c>
      <c r="H11" s="28" t="s">
        <v>38</v>
      </c>
      <c r="I11" s="26">
        <v>6</v>
      </c>
    </row>
    <row r="12" spans="1:9" ht="25.95" hidden="1" customHeight="1" x14ac:dyDescent="0.3">
      <c r="A12" s="19" t="s">
        <v>32</v>
      </c>
      <c r="B12" s="20" t="s">
        <v>33</v>
      </c>
      <c r="C12" s="21">
        <v>9</v>
      </c>
      <c r="D12" s="22" t="s">
        <v>56</v>
      </c>
      <c r="E12" s="23" t="s">
        <v>40</v>
      </c>
      <c r="F12" s="24" t="s">
        <v>36</v>
      </c>
      <c r="G12" s="25" t="s">
        <v>57</v>
      </c>
      <c r="H12" s="22" t="s">
        <v>38</v>
      </c>
      <c r="I12" s="26">
        <v>4</v>
      </c>
    </row>
    <row r="13" spans="1:9" ht="25.95" hidden="1" customHeight="1" x14ac:dyDescent="0.3">
      <c r="A13" s="19" t="s">
        <v>32</v>
      </c>
      <c r="B13" s="20" t="s">
        <v>33</v>
      </c>
      <c r="C13" s="27">
        <v>10</v>
      </c>
      <c r="D13" s="28" t="s">
        <v>58</v>
      </c>
      <c r="E13" s="23" t="s">
        <v>40</v>
      </c>
      <c r="F13" s="24" t="s">
        <v>36</v>
      </c>
      <c r="G13" s="25" t="s">
        <v>59</v>
      </c>
      <c r="H13" s="28" t="s">
        <v>38</v>
      </c>
      <c r="I13" s="26">
        <v>3</v>
      </c>
    </row>
    <row r="14" spans="1:9" ht="25.95" hidden="1" customHeight="1" x14ac:dyDescent="0.3">
      <c r="A14" s="19" t="s">
        <v>32</v>
      </c>
      <c r="B14" s="20" t="s">
        <v>33</v>
      </c>
      <c r="C14" s="21">
        <v>11</v>
      </c>
      <c r="D14" s="22" t="s">
        <v>60</v>
      </c>
      <c r="E14" s="23" t="s">
        <v>40</v>
      </c>
      <c r="F14" s="24" t="s">
        <v>36</v>
      </c>
      <c r="G14" s="25" t="s">
        <v>61</v>
      </c>
      <c r="H14" s="22" t="s">
        <v>38</v>
      </c>
      <c r="I14" s="26">
        <v>2</v>
      </c>
    </row>
    <row r="15" spans="1:9" ht="25.95" hidden="1" customHeight="1" x14ac:dyDescent="0.3">
      <c r="A15" s="19" t="s">
        <v>32</v>
      </c>
      <c r="B15" s="20" t="s">
        <v>33</v>
      </c>
      <c r="C15" s="27">
        <v>12</v>
      </c>
      <c r="D15" s="28" t="s">
        <v>62</v>
      </c>
      <c r="E15" s="23" t="s">
        <v>63</v>
      </c>
      <c r="F15" s="29" t="s">
        <v>41</v>
      </c>
      <c r="G15" s="28" t="s">
        <v>38</v>
      </c>
      <c r="H15" s="30" t="s">
        <v>41</v>
      </c>
      <c r="I15" s="26">
        <v>1</v>
      </c>
    </row>
    <row r="16" spans="1:9" ht="25.95" hidden="1" customHeight="1" x14ac:dyDescent="0.3">
      <c r="A16" s="19" t="s">
        <v>32</v>
      </c>
      <c r="B16" s="20" t="s">
        <v>33</v>
      </c>
      <c r="C16" s="21">
        <v>13</v>
      </c>
      <c r="D16" s="22" t="s">
        <v>64</v>
      </c>
      <c r="E16" s="23" t="s">
        <v>47</v>
      </c>
      <c r="F16" s="24" t="s">
        <v>36</v>
      </c>
      <c r="G16" s="25" t="s">
        <v>65</v>
      </c>
      <c r="H16" s="22" t="s">
        <v>38</v>
      </c>
      <c r="I16" s="26">
        <v>7</v>
      </c>
    </row>
    <row r="17" spans="1:9" ht="25.95" hidden="1" customHeight="1" x14ac:dyDescent="0.3">
      <c r="A17" s="19" t="s">
        <v>32</v>
      </c>
      <c r="B17" s="20" t="s">
        <v>33</v>
      </c>
      <c r="C17" s="27">
        <v>14</v>
      </c>
      <c r="D17" s="28" t="s">
        <v>66</v>
      </c>
      <c r="E17" s="23" t="s">
        <v>49</v>
      </c>
      <c r="F17" s="24" t="s">
        <v>36</v>
      </c>
      <c r="G17" s="25" t="s">
        <v>67</v>
      </c>
      <c r="H17" s="28" t="s">
        <v>38</v>
      </c>
      <c r="I17" s="26">
        <v>4</v>
      </c>
    </row>
    <row r="18" spans="1:9" ht="25.95" hidden="1" customHeight="1" x14ac:dyDescent="0.3">
      <c r="A18" s="19" t="s">
        <v>32</v>
      </c>
      <c r="B18" s="20" t="s">
        <v>33</v>
      </c>
      <c r="C18" s="21">
        <v>15</v>
      </c>
      <c r="D18" s="22" t="s">
        <v>68</v>
      </c>
      <c r="E18" s="23" t="s">
        <v>40</v>
      </c>
      <c r="F18" s="24" t="s">
        <v>36</v>
      </c>
      <c r="G18" s="25" t="s">
        <v>69</v>
      </c>
      <c r="H18" s="22" t="s">
        <v>38</v>
      </c>
      <c r="I18" s="26">
        <v>3</v>
      </c>
    </row>
    <row r="19" spans="1:9" ht="25.95" hidden="1" customHeight="1" x14ac:dyDescent="0.3">
      <c r="A19" s="19" t="s">
        <v>32</v>
      </c>
      <c r="B19" s="20" t="s">
        <v>33</v>
      </c>
      <c r="C19" s="27">
        <v>16</v>
      </c>
      <c r="D19" s="28" t="s">
        <v>70</v>
      </c>
      <c r="E19" s="23" t="s">
        <v>71</v>
      </c>
      <c r="F19" s="24" t="s">
        <v>36</v>
      </c>
      <c r="G19" s="25" t="s">
        <v>72</v>
      </c>
      <c r="H19" s="28" t="s">
        <v>38</v>
      </c>
      <c r="I19" s="26">
        <v>5</v>
      </c>
    </row>
    <row r="20" spans="1:9" ht="25.95" hidden="1" customHeight="1" x14ac:dyDescent="0.3">
      <c r="A20" s="19" t="s">
        <v>32</v>
      </c>
      <c r="B20" s="20" t="s">
        <v>33</v>
      </c>
      <c r="C20" s="21">
        <v>17</v>
      </c>
      <c r="D20" s="22" t="s">
        <v>73</v>
      </c>
      <c r="E20" s="23" t="s">
        <v>71</v>
      </c>
      <c r="F20" s="29" t="s">
        <v>41</v>
      </c>
      <c r="G20" s="22" t="s">
        <v>38</v>
      </c>
      <c r="H20" s="30" t="s">
        <v>41</v>
      </c>
      <c r="I20" s="26">
        <v>1</v>
      </c>
    </row>
    <row r="21" spans="1:9" ht="25.95" hidden="1" customHeight="1" x14ac:dyDescent="0.3">
      <c r="A21" s="19" t="s">
        <v>32</v>
      </c>
      <c r="B21" s="20" t="s">
        <v>33</v>
      </c>
      <c r="C21" s="27">
        <v>18</v>
      </c>
      <c r="D21" s="28" t="s">
        <v>74</v>
      </c>
      <c r="E21" s="23" t="s">
        <v>71</v>
      </c>
      <c r="F21" s="29" t="s">
        <v>41</v>
      </c>
      <c r="G21" s="28" t="s">
        <v>38</v>
      </c>
      <c r="H21" s="30" t="s">
        <v>41</v>
      </c>
      <c r="I21" s="26">
        <v>1</v>
      </c>
    </row>
    <row r="22" spans="1:9" ht="25.95" hidden="1" customHeight="1" x14ac:dyDescent="0.3">
      <c r="A22" s="19" t="s">
        <v>32</v>
      </c>
      <c r="B22" s="20" t="s">
        <v>33</v>
      </c>
      <c r="C22" s="21">
        <v>19</v>
      </c>
      <c r="D22" s="22" t="s">
        <v>75</v>
      </c>
      <c r="E22" s="23" t="s">
        <v>71</v>
      </c>
      <c r="F22" s="24" t="s">
        <v>36</v>
      </c>
      <c r="G22" s="25" t="s">
        <v>76</v>
      </c>
      <c r="H22" s="22" t="s">
        <v>38</v>
      </c>
      <c r="I22" s="26">
        <v>7</v>
      </c>
    </row>
    <row r="23" spans="1:9" ht="25.95" hidden="1" customHeight="1" x14ac:dyDescent="0.3">
      <c r="A23" s="19" t="s">
        <v>32</v>
      </c>
      <c r="B23" s="20" t="s">
        <v>33</v>
      </c>
      <c r="C23" s="27">
        <v>20</v>
      </c>
      <c r="D23" s="28" t="s">
        <v>77</v>
      </c>
      <c r="E23" s="23" t="s">
        <v>47</v>
      </c>
      <c r="F23" s="29" t="s">
        <v>41</v>
      </c>
      <c r="G23" s="28" t="s">
        <v>38</v>
      </c>
      <c r="H23" s="30" t="s">
        <v>41</v>
      </c>
      <c r="I23" s="26">
        <v>1</v>
      </c>
    </row>
    <row r="24" spans="1:9" ht="25.95" hidden="1" customHeight="1" x14ac:dyDescent="0.3">
      <c r="A24" s="19" t="s">
        <v>32</v>
      </c>
      <c r="B24" s="20" t="s">
        <v>33</v>
      </c>
      <c r="C24" s="21">
        <v>21</v>
      </c>
      <c r="D24" s="22" t="s">
        <v>78</v>
      </c>
      <c r="E24" s="23" t="s">
        <v>63</v>
      </c>
      <c r="F24" s="31" t="s">
        <v>9</v>
      </c>
      <c r="G24" s="25" t="s">
        <v>79</v>
      </c>
      <c r="H24" s="30" t="s">
        <v>41</v>
      </c>
      <c r="I24" s="26">
        <v>3</v>
      </c>
    </row>
    <row r="25" spans="1:9" ht="25.95" hidden="1" customHeight="1" x14ac:dyDescent="0.3">
      <c r="A25" s="19" t="s">
        <v>32</v>
      </c>
      <c r="B25" s="20" t="s">
        <v>33</v>
      </c>
      <c r="C25" s="27">
        <v>22</v>
      </c>
      <c r="D25" s="28" t="s">
        <v>80</v>
      </c>
      <c r="E25" s="23" t="s">
        <v>63</v>
      </c>
      <c r="F25" s="31" t="s">
        <v>9</v>
      </c>
      <c r="G25" s="25" t="s">
        <v>81</v>
      </c>
      <c r="H25" s="30" t="s">
        <v>41</v>
      </c>
      <c r="I25" s="26">
        <v>2</v>
      </c>
    </row>
    <row r="26" spans="1:9" ht="25.95" hidden="1" customHeight="1" x14ac:dyDescent="0.3">
      <c r="A26" s="19" t="s">
        <v>32</v>
      </c>
      <c r="B26" s="20" t="s">
        <v>33</v>
      </c>
      <c r="C26" s="21">
        <v>23</v>
      </c>
      <c r="D26" s="22" t="s">
        <v>82</v>
      </c>
      <c r="E26" s="23" t="s">
        <v>83</v>
      </c>
      <c r="F26" s="31" t="s">
        <v>9</v>
      </c>
      <c r="G26" s="25" t="s">
        <v>61</v>
      </c>
      <c r="H26" s="30" t="s">
        <v>41</v>
      </c>
      <c r="I26" s="26">
        <v>3</v>
      </c>
    </row>
    <row r="27" spans="1:9" ht="25.95" hidden="1" customHeight="1" x14ac:dyDescent="0.3">
      <c r="A27" s="19" t="s">
        <v>32</v>
      </c>
      <c r="B27" s="20" t="s">
        <v>33</v>
      </c>
      <c r="C27" s="27">
        <v>24</v>
      </c>
      <c r="D27" s="28" t="s">
        <v>84</v>
      </c>
      <c r="E27" s="23" t="s">
        <v>49</v>
      </c>
      <c r="F27" s="24" t="s">
        <v>36</v>
      </c>
      <c r="G27" s="25" t="s">
        <v>85</v>
      </c>
      <c r="H27" s="28" t="s">
        <v>38</v>
      </c>
      <c r="I27" s="26">
        <v>5</v>
      </c>
    </row>
    <row r="28" spans="1:9" ht="25.95" hidden="1" customHeight="1" x14ac:dyDescent="0.3">
      <c r="A28" s="19" t="s">
        <v>32</v>
      </c>
      <c r="B28" s="20" t="s">
        <v>33</v>
      </c>
      <c r="C28" s="21">
        <v>25</v>
      </c>
      <c r="D28" s="22" t="s">
        <v>86</v>
      </c>
      <c r="E28" s="23" t="s">
        <v>44</v>
      </c>
      <c r="F28" s="24" t="s">
        <v>36</v>
      </c>
      <c r="G28" s="25" t="s">
        <v>79</v>
      </c>
      <c r="H28" s="22" t="s">
        <v>38</v>
      </c>
      <c r="I28" s="26">
        <v>2</v>
      </c>
    </row>
    <row r="29" spans="1:9" ht="25.95" hidden="1" customHeight="1" x14ac:dyDescent="0.3">
      <c r="A29" s="19" t="s">
        <v>32</v>
      </c>
      <c r="B29" s="20" t="s">
        <v>33</v>
      </c>
      <c r="C29" s="27">
        <v>26</v>
      </c>
      <c r="D29" s="28" t="s">
        <v>87</v>
      </c>
      <c r="E29" s="23" t="s">
        <v>71</v>
      </c>
      <c r="F29" s="31" t="s">
        <v>9</v>
      </c>
      <c r="G29" s="25" t="s">
        <v>88</v>
      </c>
      <c r="H29" s="30" t="s">
        <v>41</v>
      </c>
      <c r="I29" s="26">
        <v>4</v>
      </c>
    </row>
    <row r="30" spans="1:9" ht="25.95" hidden="1" customHeight="1" x14ac:dyDescent="0.3">
      <c r="A30" s="19" t="s">
        <v>32</v>
      </c>
      <c r="B30" s="20" t="s">
        <v>33</v>
      </c>
      <c r="C30" s="21">
        <v>27</v>
      </c>
      <c r="D30" s="22" t="s">
        <v>89</v>
      </c>
      <c r="E30" s="23" t="s">
        <v>71</v>
      </c>
      <c r="F30" s="29" t="s">
        <v>41</v>
      </c>
      <c r="G30" s="22" t="s">
        <v>38</v>
      </c>
      <c r="H30" s="30" t="s">
        <v>41</v>
      </c>
      <c r="I30" s="26">
        <v>1</v>
      </c>
    </row>
    <row r="31" spans="1:9" ht="25.95" hidden="1" customHeight="1" x14ac:dyDescent="0.3">
      <c r="A31" s="19" t="s">
        <v>32</v>
      </c>
      <c r="B31" s="20" t="s">
        <v>33</v>
      </c>
      <c r="C31" s="27">
        <v>28</v>
      </c>
      <c r="D31" s="28" t="s">
        <v>90</v>
      </c>
      <c r="E31" s="23" t="s">
        <v>47</v>
      </c>
      <c r="F31" s="31" t="s">
        <v>9</v>
      </c>
      <c r="G31" s="25" t="s">
        <v>81</v>
      </c>
      <c r="H31" s="30" t="s">
        <v>41</v>
      </c>
      <c r="I31" s="26">
        <v>2</v>
      </c>
    </row>
    <row r="32" spans="1:9" ht="25.95" hidden="1" customHeight="1" x14ac:dyDescent="0.3">
      <c r="A32" s="19" t="s">
        <v>32</v>
      </c>
      <c r="B32" s="20" t="s">
        <v>33</v>
      </c>
      <c r="C32" s="21">
        <v>29</v>
      </c>
      <c r="D32" s="22" t="s">
        <v>91</v>
      </c>
      <c r="E32" s="23" t="s">
        <v>49</v>
      </c>
      <c r="F32" s="24" t="s">
        <v>36</v>
      </c>
      <c r="G32" s="25" t="s">
        <v>61</v>
      </c>
      <c r="H32" s="22" t="s">
        <v>38</v>
      </c>
      <c r="I32" s="26">
        <v>2</v>
      </c>
    </row>
    <row r="33" spans="1:9" ht="25.95" hidden="1" customHeight="1" x14ac:dyDescent="0.3">
      <c r="A33" s="19" t="s">
        <v>32</v>
      </c>
      <c r="B33" s="20" t="s">
        <v>33</v>
      </c>
      <c r="C33" s="27">
        <v>30</v>
      </c>
      <c r="D33" s="28" t="s">
        <v>92</v>
      </c>
      <c r="E33" s="23" t="s">
        <v>49</v>
      </c>
      <c r="F33" s="29" t="s">
        <v>41</v>
      </c>
      <c r="G33" s="28" t="s">
        <v>38</v>
      </c>
      <c r="H33" s="30" t="s">
        <v>41</v>
      </c>
      <c r="I33" s="26">
        <v>1</v>
      </c>
    </row>
    <row r="34" spans="1:9" ht="25.95" hidden="1" customHeight="1" x14ac:dyDescent="0.3">
      <c r="A34" s="19" t="s">
        <v>32</v>
      </c>
      <c r="B34" s="20" t="s">
        <v>33</v>
      </c>
      <c r="C34" s="21">
        <v>31</v>
      </c>
      <c r="D34" s="22" t="s">
        <v>93</v>
      </c>
      <c r="E34" s="23" t="s">
        <v>49</v>
      </c>
      <c r="F34" s="29" t="s">
        <v>41</v>
      </c>
      <c r="G34" s="22" t="s">
        <v>38</v>
      </c>
      <c r="H34" s="30" t="s">
        <v>41</v>
      </c>
      <c r="I34" s="26">
        <v>1</v>
      </c>
    </row>
    <row r="35" spans="1:9" ht="25.95" hidden="1" customHeight="1" x14ac:dyDescent="0.3">
      <c r="A35" s="19" t="s">
        <v>32</v>
      </c>
      <c r="B35" s="20" t="s">
        <v>33</v>
      </c>
      <c r="C35" s="27">
        <v>32</v>
      </c>
      <c r="D35" s="28" t="s">
        <v>94</v>
      </c>
      <c r="E35" s="23" t="s">
        <v>49</v>
      </c>
      <c r="F35" s="29" t="s">
        <v>41</v>
      </c>
      <c r="G35" s="28" t="s">
        <v>38</v>
      </c>
      <c r="H35" s="30" t="s">
        <v>41</v>
      </c>
      <c r="I35" s="26">
        <v>1</v>
      </c>
    </row>
    <row r="36" spans="1:9" ht="25.95" hidden="1" customHeight="1" x14ac:dyDescent="0.3">
      <c r="A36" s="19" t="s">
        <v>32</v>
      </c>
      <c r="B36" s="20" t="s">
        <v>33</v>
      </c>
      <c r="C36" s="21">
        <v>33</v>
      </c>
      <c r="D36" s="22" t="s">
        <v>95</v>
      </c>
      <c r="E36" s="23" t="s">
        <v>54</v>
      </c>
      <c r="F36" s="24" t="s">
        <v>36</v>
      </c>
      <c r="G36" s="25" t="s">
        <v>96</v>
      </c>
      <c r="H36" s="22" t="s">
        <v>38</v>
      </c>
      <c r="I36" s="26">
        <v>5</v>
      </c>
    </row>
    <row r="37" spans="1:9" ht="25.95" hidden="1" customHeight="1" x14ac:dyDescent="0.3">
      <c r="A37" s="19" t="s">
        <v>32</v>
      </c>
      <c r="B37" s="20" t="s">
        <v>33</v>
      </c>
      <c r="C37" s="27">
        <v>34</v>
      </c>
      <c r="D37" s="28" t="s">
        <v>97</v>
      </c>
      <c r="E37" s="23" t="s">
        <v>47</v>
      </c>
      <c r="F37" s="24" t="s">
        <v>36</v>
      </c>
      <c r="G37" s="25" t="s">
        <v>98</v>
      </c>
      <c r="H37" s="28" t="s">
        <v>38</v>
      </c>
      <c r="I37" s="26">
        <v>6</v>
      </c>
    </row>
    <row r="38" spans="1:9" ht="25.95" hidden="1" customHeight="1" x14ac:dyDescent="0.3">
      <c r="A38" s="19" t="s">
        <v>32</v>
      </c>
      <c r="B38" s="20" t="s">
        <v>33</v>
      </c>
      <c r="C38" s="21">
        <v>35</v>
      </c>
      <c r="D38" s="22" t="s">
        <v>99</v>
      </c>
      <c r="E38" s="23" t="s">
        <v>47</v>
      </c>
      <c r="F38" s="29" t="s">
        <v>41</v>
      </c>
      <c r="G38" s="22" t="s">
        <v>38</v>
      </c>
      <c r="H38" s="30" t="s">
        <v>41</v>
      </c>
      <c r="I38" s="26">
        <v>1</v>
      </c>
    </row>
    <row r="39" spans="1:9" ht="25.95" hidden="1" customHeight="1" x14ac:dyDescent="0.3">
      <c r="A39" s="19" t="s">
        <v>32</v>
      </c>
      <c r="B39" s="20" t="s">
        <v>33</v>
      </c>
      <c r="C39" s="27">
        <v>36</v>
      </c>
      <c r="D39" s="28" t="s">
        <v>100</v>
      </c>
      <c r="E39" s="23" t="s">
        <v>40</v>
      </c>
      <c r="F39" s="24" t="s">
        <v>36</v>
      </c>
      <c r="G39" s="25" t="s">
        <v>81</v>
      </c>
      <c r="H39" s="28" t="s">
        <v>38</v>
      </c>
      <c r="I39" s="26">
        <v>1</v>
      </c>
    </row>
    <row r="40" spans="1:9" ht="25.95" hidden="1" customHeight="1" x14ac:dyDescent="0.3">
      <c r="A40" s="26" t="s">
        <v>101</v>
      </c>
      <c r="B40" s="32" t="s">
        <v>41</v>
      </c>
      <c r="C40" s="21">
        <v>37</v>
      </c>
      <c r="D40" s="22" t="s">
        <v>102</v>
      </c>
      <c r="E40" s="22"/>
      <c r="F40" s="29" t="s">
        <v>41</v>
      </c>
      <c r="G40" s="22" t="s">
        <v>38</v>
      </c>
      <c r="H40" s="30" t="s">
        <v>41</v>
      </c>
      <c r="I40" s="26">
        <v>1</v>
      </c>
    </row>
    <row r="41" spans="1:9" ht="25.95" hidden="1" customHeight="1" x14ac:dyDescent="0.3">
      <c r="A41" s="26" t="s">
        <v>101</v>
      </c>
      <c r="B41" s="32" t="s">
        <v>41</v>
      </c>
      <c r="C41" s="27">
        <v>38</v>
      </c>
      <c r="D41" s="28" t="s">
        <v>103</v>
      </c>
      <c r="E41" s="28"/>
      <c r="F41" s="29" t="s">
        <v>41</v>
      </c>
      <c r="G41" s="28" t="s">
        <v>38</v>
      </c>
      <c r="H41" s="30" t="s">
        <v>41</v>
      </c>
      <c r="I41" s="26">
        <v>1</v>
      </c>
    </row>
    <row r="42" spans="1:9" ht="25.95" hidden="1" customHeight="1" x14ac:dyDescent="0.3">
      <c r="A42" s="26" t="s">
        <v>101</v>
      </c>
      <c r="B42" s="32" t="s">
        <v>41</v>
      </c>
      <c r="C42" s="21">
        <v>39</v>
      </c>
      <c r="D42" s="22" t="s">
        <v>104</v>
      </c>
      <c r="E42" s="22"/>
      <c r="F42" s="29" t="s">
        <v>41</v>
      </c>
      <c r="G42" s="22" t="s">
        <v>38</v>
      </c>
      <c r="H42" s="30" t="s">
        <v>41</v>
      </c>
      <c r="I42" s="26">
        <v>1</v>
      </c>
    </row>
    <row r="43" spans="1:9" ht="25.95" hidden="1" customHeight="1" x14ac:dyDescent="0.3">
      <c r="A43" s="26" t="s">
        <v>101</v>
      </c>
      <c r="B43" s="32" t="s">
        <v>41</v>
      </c>
      <c r="C43" s="27">
        <v>40</v>
      </c>
      <c r="D43" s="28" t="s">
        <v>105</v>
      </c>
      <c r="E43" s="28"/>
      <c r="F43" s="29" t="s">
        <v>41</v>
      </c>
      <c r="G43" s="28" t="s">
        <v>38</v>
      </c>
      <c r="H43" s="30" t="s">
        <v>41</v>
      </c>
      <c r="I43" s="26">
        <v>1</v>
      </c>
    </row>
    <row r="44" spans="1:9" ht="25.95" hidden="1" customHeight="1" x14ac:dyDescent="0.3">
      <c r="A44" s="26" t="s">
        <v>101</v>
      </c>
      <c r="B44" s="32" t="s">
        <v>41</v>
      </c>
      <c r="C44" s="21">
        <v>41</v>
      </c>
      <c r="D44" s="22" t="s">
        <v>106</v>
      </c>
      <c r="E44" s="22"/>
      <c r="F44" s="29" t="s">
        <v>41</v>
      </c>
      <c r="G44" s="22" t="s">
        <v>38</v>
      </c>
      <c r="H44" s="30" t="s">
        <v>41</v>
      </c>
      <c r="I44" s="26">
        <v>1</v>
      </c>
    </row>
    <row r="45" spans="1:9" ht="25.95" hidden="1" customHeight="1" x14ac:dyDescent="0.3">
      <c r="A45" s="26" t="s">
        <v>101</v>
      </c>
      <c r="B45" s="32" t="s">
        <v>41</v>
      </c>
      <c r="C45" s="27">
        <v>42</v>
      </c>
      <c r="D45" s="28" t="s">
        <v>107</v>
      </c>
      <c r="E45" s="28"/>
      <c r="F45" s="29" t="s">
        <v>41</v>
      </c>
      <c r="G45" s="28" t="s">
        <v>38</v>
      </c>
      <c r="H45" s="30" t="s">
        <v>41</v>
      </c>
      <c r="I45" s="26">
        <v>1</v>
      </c>
    </row>
    <row r="46" spans="1:9" ht="25.95" hidden="1" customHeight="1" x14ac:dyDescent="0.3">
      <c r="A46" s="26" t="s">
        <v>101</v>
      </c>
      <c r="B46" s="32" t="s">
        <v>41</v>
      </c>
      <c r="C46" s="21">
        <v>43</v>
      </c>
      <c r="D46" s="22" t="s">
        <v>108</v>
      </c>
      <c r="E46" s="22"/>
      <c r="F46" s="29" t="s">
        <v>41</v>
      </c>
      <c r="G46" s="22" t="s">
        <v>38</v>
      </c>
      <c r="H46" s="30" t="s">
        <v>41</v>
      </c>
      <c r="I46" s="26">
        <v>1</v>
      </c>
    </row>
    <row r="47" spans="1:9" ht="25.95" hidden="1" customHeight="1" x14ac:dyDescent="0.3">
      <c r="A47" s="26" t="s">
        <v>101</v>
      </c>
      <c r="B47" s="32" t="s">
        <v>41</v>
      </c>
      <c r="C47" s="27">
        <v>44</v>
      </c>
      <c r="D47" s="28" t="s">
        <v>109</v>
      </c>
      <c r="E47" s="28"/>
      <c r="F47" s="29" t="s">
        <v>41</v>
      </c>
      <c r="G47" s="28" t="s">
        <v>38</v>
      </c>
      <c r="H47" s="30" t="s">
        <v>41</v>
      </c>
      <c r="I47" s="26">
        <v>1</v>
      </c>
    </row>
    <row r="48" spans="1:9" ht="25.95" hidden="1" customHeight="1" x14ac:dyDescent="0.3">
      <c r="A48" s="26" t="s">
        <v>101</v>
      </c>
      <c r="B48" s="32" t="s">
        <v>41</v>
      </c>
      <c r="C48" s="21">
        <v>45</v>
      </c>
      <c r="D48" s="22" t="s">
        <v>110</v>
      </c>
      <c r="E48" s="22"/>
      <c r="F48" s="29" t="s">
        <v>41</v>
      </c>
      <c r="G48" s="22" t="s">
        <v>38</v>
      </c>
      <c r="H48" s="30" t="s">
        <v>41</v>
      </c>
      <c r="I48" s="26">
        <v>1</v>
      </c>
    </row>
    <row r="49" spans="1:9" ht="25.95" hidden="1" customHeight="1" x14ac:dyDescent="0.3">
      <c r="A49" s="26" t="s">
        <v>101</v>
      </c>
      <c r="B49" s="32" t="s">
        <v>41</v>
      </c>
      <c r="C49" s="27">
        <v>46</v>
      </c>
      <c r="D49" s="28" t="s">
        <v>111</v>
      </c>
      <c r="E49" s="28"/>
      <c r="F49" s="29" t="s">
        <v>41</v>
      </c>
      <c r="G49" s="28" t="s">
        <v>38</v>
      </c>
      <c r="H49" s="30" t="s">
        <v>41</v>
      </c>
      <c r="I49" s="26">
        <v>1</v>
      </c>
    </row>
    <row r="50" spans="1:9" ht="25.95" hidden="1" customHeight="1" x14ac:dyDescent="0.3">
      <c r="A50" s="26" t="s">
        <v>101</v>
      </c>
      <c r="B50" s="32" t="s">
        <v>41</v>
      </c>
      <c r="C50" s="21">
        <v>47</v>
      </c>
      <c r="D50" s="22" t="s">
        <v>112</v>
      </c>
      <c r="E50" s="22"/>
      <c r="F50" s="29" t="s">
        <v>41</v>
      </c>
      <c r="G50" s="22" t="s">
        <v>38</v>
      </c>
      <c r="H50" s="30" t="s">
        <v>41</v>
      </c>
      <c r="I50" s="26">
        <v>1</v>
      </c>
    </row>
    <row r="51" spans="1:9" ht="25.95" customHeight="1" x14ac:dyDescent="0.3">
      <c r="A51" s="26" t="s">
        <v>101</v>
      </c>
      <c r="B51" s="32" t="s">
        <v>41</v>
      </c>
      <c r="C51" s="27">
        <v>48</v>
      </c>
      <c r="D51" s="28" t="s">
        <v>113</v>
      </c>
      <c r="E51" s="28"/>
      <c r="F51" s="29" t="s">
        <v>41</v>
      </c>
      <c r="G51" s="28" t="s">
        <v>38</v>
      </c>
      <c r="H51" s="30" t="s">
        <v>41</v>
      </c>
      <c r="I51" s="26">
        <v>1</v>
      </c>
    </row>
    <row r="52" spans="1:9" ht="25.95" hidden="1" customHeight="1" x14ac:dyDescent="0.3">
      <c r="A52" s="26" t="s">
        <v>101</v>
      </c>
      <c r="B52" s="32" t="s">
        <v>41</v>
      </c>
      <c r="C52" s="21">
        <v>49</v>
      </c>
      <c r="D52" s="22" t="s">
        <v>114</v>
      </c>
      <c r="E52" s="22"/>
      <c r="F52" s="29" t="s">
        <v>41</v>
      </c>
      <c r="G52" s="22" t="s">
        <v>38</v>
      </c>
      <c r="H52" s="30" t="s">
        <v>41</v>
      </c>
      <c r="I52" s="26">
        <v>1</v>
      </c>
    </row>
    <row r="53" spans="1:9" ht="25.95" hidden="1" customHeight="1" x14ac:dyDescent="0.3">
      <c r="A53" s="26" t="s">
        <v>101</v>
      </c>
      <c r="B53" s="32" t="s">
        <v>41</v>
      </c>
      <c r="C53" s="27">
        <v>50</v>
      </c>
      <c r="D53" s="28" t="s">
        <v>115</v>
      </c>
      <c r="E53" s="28"/>
      <c r="F53" s="29" t="s">
        <v>41</v>
      </c>
      <c r="G53" s="28" t="s">
        <v>38</v>
      </c>
      <c r="H53" s="30" t="s">
        <v>41</v>
      </c>
      <c r="I53" s="26">
        <v>1</v>
      </c>
    </row>
    <row r="54" spans="1:9" ht="25.95" hidden="1" customHeight="1" x14ac:dyDescent="0.3">
      <c r="A54" s="26" t="s">
        <v>101</v>
      </c>
      <c r="B54" s="32" t="s">
        <v>41</v>
      </c>
      <c r="C54" s="21">
        <v>51</v>
      </c>
      <c r="D54" s="22" t="s">
        <v>116</v>
      </c>
      <c r="E54" s="22"/>
      <c r="F54" s="29" t="s">
        <v>41</v>
      </c>
      <c r="G54" s="22" t="s">
        <v>38</v>
      </c>
      <c r="H54" s="30" t="s">
        <v>41</v>
      </c>
      <c r="I54" s="26">
        <v>1</v>
      </c>
    </row>
    <row r="55" spans="1:9" ht="25.95" hidden="1" customHeight="1" x14ac:dyDescent="0.3">
      <c r="A55" s="26" t="s">
        <v>101</v>
      </c>
      <c r="B55" s="32" t="s">
        <v>41</v>
      </c>
      <c r="C55" s="27">
        <v>52</v>
      </c>
      <c r="D55" s="28" t="s">
        <v>117</v>
      </c>
      <c r="E55" s="28"/>
      <c r="F55" s="29" t="s">
        <v>41</v>
      </c>
      <c r="G55" s="28" t="s">
        <v>38</v>
      </c>
      <c r="H55" s="30" t="s">
        <v>41</v>
      </c>
      <c r="I55" s="26">
        <v>1</v>
      </c>
    </row>
    <row r="56" spans="1:9" ht="25.95" hidden="1" customHeight="1" x14ac:dyDescent="0.3">
      <c r="A56" s="26" t="s">
        <v>101</v>
      </c>
      <c r="B56" s="32" t="s">
        <v>41</v>
      </c>
      <c r="C56" s="21">
        <v>53</v>
      </c>
      <c r="D56" s="22" t="s">
        <v>118</v>
      </c>
      <c r="E56" s="22"/>
      <c r="F56" s="29" t="s">
        <v>41</v>
      </c>
      <c r="G56" s="22" t="s">
        <v>38</v>
      </c>
      <c r="H56" s="30" t="s">
        <v>41</v>
      </c>
      <c r="I56" s="26">
        <v>1</v>
      </c>
    </row>
    <row r="57" spans="1:9" ht="25.95" hidden="1" customHeight="1" x14ac:dyDescent="0.3">
      <c r="A57" s="26" t="s">
        <v>101</v>
      </c>
      <c r="B57" s="32" t="s">
        <v>41</v>
      </c>
      <c r="C57" s="27">
        <v>54</v>
      </c>
      <c r="D57" s="28" t="s">
        <v>119</v>
      </c>
      <c r="E57" s="28"/>
      <c r="F57" s="29" t="s">
        <v>41</v>
      </c>
      <c r="G57" s="28" t="s">
        <v>38</v>
      </c>
      <c r="H57" s="30" t="s">
        <v>41</v>
      </c>
      <c r="I57" s="26">
        <v>1</v>
      </c>
    </row>
    <row r="58" spans="1:9" ht="25.95" hidden="1" customHeight="1" x14ac:dyDescent="0.3">
      <c r="A58" s="26" t="s">
        <v>101</v>
      </c>
      <c r="B58" s="32" t="s">
        <v>41</v>
      </c>
      <c r="C58" s="21">
        <v>55</v>
      </c>
      <c r="D58" s="22" t="s">
        <v>120</v>
      </c>
      <c r="E58" s="22"/>
      <c r="F58" s="29" t="s">
        <v>41</v>
      </c>
      <c r="G58" s="22" t="s">
        <v>38</v>
      </c>
      <c r="H58" s="30" t="s">
        <v>41</v>
      </c>
      <c r="I58" s="26">
        <v>1</v>
      </c>
    </row>
    <row r="59" spans="1:9" ht="25.95" hidden="1" customHeight="1" x14ac:dyDescent="0.3">
      <c r="A59" s="26" t="s">
        <v>101</v>
      </c>
      <c r="B59" s="32" t="s">
        <v>41</v>
      </c>
      <c r="C59" s="27">
        <v>56</v>
      </c>
      <c r="D59" s="28" t="s">
        <v>121</v>
      </c>
      <c r="E59" s="28"/>
      <c r="F59" s="29" t="s">
        <v>41</v>
      </c>
      <c r="G59" s="28" t="s">
        <v>38</v>
      </c>
      <c r="H59" s="30" t="s">
        <v>41</v>
      </c>
      <c r="I59" s="26">
        <v>1</v>
      </c>
    </row>
    <row r="60" spans="1:9" ht="25.95" hidden="1" customHeight="1" x14ac:dyDescent="0.3">
      <c r="A60" s="26" t="s">
        <v>101</v>
      </c>
      <c r="B60" s="32" t="s">
        <v>41</v>
      </c>
      <c r="C60" s="21">
        <v>57</v>
      </c>
      <c r="D60" s="22" t="s">
        <v>122</v>
      </c>
      <c r="E60" s="22"/>
      <c r="F60" s="29" t="s">
        <v>41</v>
      </c>
      <c r="G60" s="22" t="s">
        <v>38</v>
      </c>
      <c r="H60" s="30" t="s">
        <v>41</v>
      </c>
      <c r="I60" s="26">
        <v>1</v>
      </c>
    </row>
    <row r="61" spans="1:9" ht="25.95" hidden="1" customHeight="1" x14ac:dyDescent="0.3">
      <c r="A61" s="26" t="s">
        <v>101</v>
      </c>
      <c r="B61" s="32" t="s">
        <v>41</v>
      </c>
      <c r="C61" s="27">
        <v>58</v>
      </c>
      <c r="D61" s="28" t="s">
        <v>123</v>
      </c>
      <c r="E61" s="28"/>
      <c r="F61" s="29" t="s">
        <v>41</v>
      </c>
      <c r="G61" s="28" t="s">
        <v>38</v>
      </c>
      <c r="H61" s="30" t="s">
        <v>41</v>
      </c>
      <c r="I61" s="26">
        <v>1</v>
      </c>
    </row>
    <row r="62" spans="1:9" ht="25.95" hidden="1" customHeight="1" x14ac:dyDescent="0.3">
      <c r="A62" s="26" t="s">
        <v>101</v>
      </c>
      <c r="B62" s="32" t="s">
        <v>41</v>
      </c>
      <c r="C62" s="21">
        <v>59</v>
      </c>
      <c r="D62" s="22" t="s">
        <v>124</v>
      </c>
      <c r="E62" s="22"/>
      <c r="F62" s="29" t="s">
        <v>41</v>
      </c>
      <c r="G62" s="22" t="s">
        <v>38</v>
      </c>
      <c r="H62" s="30" t="s">
        <v>41</v>
      </c>
      <c r="I62" s="26">
        <v>1</v>
      </c>
    </row>
    <row r="63" spans="1:9" ht="25.95" hidden="1" customHeight="1" x14ac:dyDescent="0.3">
      <c r="A63" s="26" t="s">
        <v>101</v>
      </c>
      <c r="B63" s="32" t="s">
        <v>41</v>
      </c>
      <c r="C63" s="27">
        <v>60</v>
      </c>
      <c r="D63" s="28" t="s">
        <v>125</v>
      </c>
      <c r="E63" s="28"/>
      <c r="F63" s="29" t="s">
        <v>41</v>
      </c>
      <c r="G63" s="28" t="s">
        <v>38</v>
      </c>
      <c r="H63" s="30" t="s">
        <v>41</v>
      </c>
      <c r="I63" s="26">
        <v>1</v>
      </c>
    </row>
    <row r="64" spans="1:9" ht="25.95" hidden="1" customHeight="1" x14ac:dyDescent="0.3">
      <c r="A64" s="26" t="s">
        <v>101</v>
      </c>
      <c r="B64" s="32" t="s">
        <v>41</v>
      </c>
      <c r="C64" s="21">
        <v>61</v>
      </c>
      <c r="D64" s="22" t="s">
        <v>126</v>
      </c>
      <c r="E64" s="22"/>
      <c r="F64" s="29" t="s">
        <v>41</v>
      </c>
      <c r="G64" s="22" t="s">
        <v>38</v>
      </c>
      <c r="H64" s="30" t="s">
        <v>41</v>
      </c>
      <c r="I64" s="26">
        <v>1</v>
      </c>
    </row>
    <row r="65" spans="1:9" ht="25.95" hidden="1" customHeight="1" x14ac:dyDescent="0.3">
      <c r="A65" s="26" t="s">
        <v>101</v>
      </c>
      <c r="B65" s="32" t="s">
        <v>41</v>
      </c>
      <c r="C65" s="27">
        <v>62</v>
      </c>
      <c r="D65" s="28" t="s">
        <v>127</v>
      </c>
      <c r="E65" s="28"/>
      <c r="F65" s="29" t="s">
        <v>41</v>
      </c>
      <c r="G65" s="28" t="s">
        <v>38</v>
      </c>
      <c r="H65" s="30" t="s">
        <v>41</v>
      </c>
      <c r="I65" s="26">
        <v>1</v>
      </c>
    </row>
    <row r="66" spans="1:9" ht="25.95" hidden="1" customHeight="1" x14ac:dyDescent="0.3">
      <c r="A66" s="26" t="s">
        <v>101</v>
      </c>
      <c r="B66" s="32" t="s">
        <v>41</v>
      </c>
      <c r="C66" s="21">
        <v>63</v>
      </c>
      <c r="D66" s="22" t="s">
        <v>128</v>
      </c>
      <c r="E66" s="22"/>
      <c r="F66" s="29" t="s">
        <v>41</v>
      </c>
      <c r="G66" s="22" t="s">
        <v>38</v>
      </c>
      <c r="H66" s="30" t="s">
        <v>41</v>
      </c>
      <c r="I66" s="26">
        <v>1</v>
      </c>
    </row>
    <row r="67" spans="1:9" ht="25.95" hidden="1" customHeight="1" x14ac:dyDescent="0.3">
      <c r="A67" s="26" t="s">
        <v>101</v>
      </c>
      <c r="B67" s="32" t="s">
        <v>41</v>
      </c>
      <c r="C67" s="27">
        <v>64</v>
      </c>
      <c r="D67" s="28" t="s">
        <v>129</v>
      </c>
      <c r="E67" s="28"/>
      <c r="F67" s="29" t="s">
        <v>41</v>
      </c>
      <c r="G67" s="28" t="s">
        <v>38</v>
      </c>
      <c r="H67" s="30" t="s">
        <v>41</v>
      </c>
      <c r="I67" s="26">
        <v>1</v>
      </c>
    </row>
    <row r="68" spans="1:9" ht="25.95" hidden="1" customHeight="1" x14ac:dyDescent="0.3">
      <c r="A68" s="26" t="s">
        <v>101</v>
      </c>
      <c r="B68" s="32" t="s">
        <v>41</v>
      </c>
      <c r="C68" s="21">
        <v>65</v>
      </c>
      <c r="D68" s="22" t="s">
        <v>130</v>
      </c>
      <c r="E68" s="22"/>
      <c r="F68" s="29" t="s">
        <v>41</v>
      </c>
      <c r="G68" s="22" t="s">
        <v>38</v>
      </c>
      <c r="H68" s="30" t="s">
        <v>41</v>
      </c>
      <c r="I68" s="26">
        <v>1</v>
      </c>
    </row>
    <row r="69" spans="1:9" ht="25.95" hidden="1" customHeight="1" x14ac:dyDescent="0.3">
      <c r="A69" s="26" t="s">
        <v>101</v>
      </c>
      <c r="B69" s="32" t="s">
        <v>41</v>
      </c>
      <c r="C69" s="27">
        <v>66</v>
      </c>
      <c r="D69" s="28" t="s">
        <v>131</v>
      </c>
      <c r="E69" s="28"/>
      <c r="F69" s="29" t="s">
        <v>41</v>
      </c>
      <c r="G69" s="28" t="s">
        <v>38</v>
      </c>
      <c r="H69" s="30" t="s">
        <v>41</v>
      </c>
      <c r="I69" s="26">
        <v>1</v>
      </c>
    </row>
    <row r="70" spans="1:9" ht="25.95" hidden="1" customHeight="1" x14ac:dyDescent="0.3">
      <c r="A70" s="26" t="s">
        <v>101</v>
      </c>
      <c r="B70" s="32" t="s">
        <v>41</v>
      </c>
      <c r="C70" s="21">
        <v>67</v>
      </c>
      <c r="D70" s="22" t="s">
        <v>132</v>
      </c>
      <c r="E70" s="22"/>
      <c r="F70" s="29" t="s">
        <v>41</v>
      </c>
      <c r="G70" s="22" t="s">
        <v>38</v>
      </c>
      <c r="H70" s="30" t="s">
        <v>41</v>
      </c>
      <c r="I70" s="26">
        <v>1</v>
      </c>
    </row>
    <row r="71" spans="1:9" ht="25.95" hidden="1" customHeight="1" x14ac:dyDescent="0.3">
      <c r="A71" s="26" t="s">
        <v>101</v>
      </c>
      <c r="B71" s="32" t="s">
        <v>41</v>
      </c>
      <c r="C71" s="27">
        <v>68</v>
      </c>
      <c r="D71" s="28" t="s">
        <v>133</v>
      </c>
      <c r="E71" s="28"/>
      <c r="F71" s="29" t="s">
        <v>41</v>
      </c>
      <c r="G71" s="28" t="s">
        <v>38</v>
      </c>
      <c r="H71" s="30" t="s">
        <v>41</v>
      </c>
      <c r="I71" s="26">
        <v>1</v>
      </c>
    </row>
    <row r="72" spans="1:9" ht="25.95" hidden="1" customHeight="1" x14ac:dyDescent="0.3">
      <c r="A72" s="26" t="s">
        <v>101</v>
      </c>
      <c r="B72" s="32" t="s">
        <v>41</v>
      </c>
      <c r="C72" s="21">
        <v>69</v>
      </c>
      <c r="D72" s="22" t="s">
        <v>134</v>
      </c>
      <c r="E72" s="22"/>
      <c r="F72" s="29" t="s">
        <v>41</v>
      </c>
      <c r="G72" s="22" t="s">
        <v>38</v>
      </c>
      <c r="H72" s="30" t="s">
        <v>41</v>
      </c>
      <c r="I72" s="26">
        <v>1</v>
      </c>
    </row>
    <row r="73" spans="1:9" ht="25.95" hidden="1" customHeight="1" x14ac:dyDescent="0.3">
      <c r="A73" s="26" t="s">
        <v>101</v>
      </c>
      <c r="B73" s="32" t="s">
        <v>41</v>
      </c>
      <c r="C73" s="27">
        <v>70</v>
      </c>
      <c r="D73" s="28" t="s">
        <v>135</v>
      </c>
      <c r="E73" s="28"/>
      <c r="F73" s="29" t="s">
        <v>41</v>
      </c>
      <c r="G73" s="28" t="s">
        <v>38</v>
      </c>
      <c r="H73" s="30" t="s">
        <v>41</v>
      </c>
      <c r="I73" s="26">
        <v>1</v>
      </c>
    </row>
    <row r="74" spans="1:9" ht="25.95" hidden="1" customHeight="1" x14ac:dyDescent="0.3">
      <c r="A74" s="26" t="s">
        <v>101</v>
      </c>
      <c r="B74" s="32" t="s">
        <v>41</v>
      </c>
      <c r="C74" s="21">
        <v>71</v>
      </c>
      <c r="D74" s="22" t="s">
        <v>136</v>
      </c>
      <c r="E74" s="22"/>
      <c r="F74" s="29" t="s">
        <v>41</v>
      </c>
      <c r="G74" s="22" t="s">
        <v>38</v>
      </c>
      <c r="H74" s="30" t="s">
        <v>41</v>
      </c>
      <c r="I74" s="26">
        <v>1</v>
      </c>
    </row>
    <row r="75" spans="1:9" ht="25.95" hidden="1" customHeight="1" x14ac:dyDescent="0.3">
      <c r="A75" s="26" t="s">
        <v>101</v>
      </c>
      <c r="B75" s="32" t="s">
        <v>41</v>
      </c>
      <c r="C75" s="27">
        <v>72</v>
      </c>
      <c r="D75" s="28" t="s">
        <v>137</v>
      </c>
      <c r="E75" s="28"/>
      <c r="F75" s="29" t="s">
        <v>41</v>
      </c>
      <c r="G75" s="28" t="s">
        <v>38</v>
      </c>
      <c r="H75" s="30" t="s">
        <v>41</v>
      </c>
      <c r="I75" s="26">
        <v>1</v>
      </c>
    </row>
    <row r="76" spans="1:9" ht="25.95" hidden="1" customHeight="1" x14ac:dyDescent="0.3">
      <c r="A76" s="26" t="s">
        <v>101</v>
      </c>
      <c r="B76" s="32" t="s">
        <v>41</v>
      </c>
      <c r="C76" s="21">
        <v>73</v>
      </c>
      <c r="D76" s="22" t="s">
        <v>138</v>
      </c>
      <c r="E76" s="22"/>
      <c r="F76" s="29" t="s">
        <v>41</v>
      </c>
      <c r="G76" s="22" t="s">
        <v>38</v>
      </c>
      <c r="H76" s="30" t="s">
        <v>41</v>
      </c>
      <c r="I76" s="26">
        <v>1</v>
      </c>
    </row>
    <row r="77" spans="1:9" ht="25.95" hidden="1" customHeight="1" x14ac:dyDescent="0.3">
      <c r="A77" s="26" t="s">
        <v>101</v>
      </c>
      <c r="B77" s="32" t="s">
        <v>41</v>
      </c>
      <c r="C77" s="27">
        <v>74</v>
      </c>
      <c r="D77" s="28" t="s">
        <v>139</v>
      </c>
      <c r="E77" s="28"/>
      <c r="F77" s="29" t="s">
        <v>41</v>
      </c>
      <c r="G77" s="28" t="s">
        <v>38</v>
      </c>
      <c r="H77" s="30" t="s">
        <v>41</v>
      </c>
      <c r="I77" s="26">
        <v>1</v>
      </c>
    </row>
    <row r="78" spans="1:9" ht="25.95" hidden="1" customHeight="1" x14ac:dyDescent="0.3">
      <c r="A78" s="26" t="s">
        <v>101</v>
      </c>
      <c r="B78" s="32" t="s">
        <v>41</v>
      </c>
      <c r="C78" s="21">
        <v>75</v>
      </c>
      <c r="D78" s="22" t="s">
        <v>140</v>
      </c>
      <c r="E78" s="22"/>
      <c r="F78" s="29" t="s">
        <v>41</v>
      </c>
      <c r="G78" s="22" t="s">
        <v>38</v>
      </c>
      <c r="H78" s="30" t="s">
        <v>41</v>
      </c>
      <c r="I78" s="26">
        <v>1</v>
      </c>
    </row>
    <row r="79" spans="1:9" ht="25.95" hidden="1" customHeight="1" x14ac:dyDescent="0.3">
      <c r="A79" s="26" t="s">
        <v>101</v>
      </c>
      <c r="B79" s="32" t="s">
        <v>41</v>
      </c>
      <c r="C79" s="27">
        <v>76</v>
      </c>
      <c r="D79" s="28" t="s">
        <v>141</v>
      </c>
      <c r="E79" s="28"/>
      <c r="F79" s="29" t="s">
        <v>41</v>
      </c>
      <c r="G79" s="28" t="s">
        <v>38</v>
      </c>
      <c r="H79" s="30" t="s">
        <v>41</v>
      </c>
      <c r="I79" s="26">
        <v>1</v>
      </c>
    </row>
    <row r="80" spans="1:9" ht="25.95" hidden="1" customHeight="1" x14ac:dyDescent="0.3">
      <c r="A80" s="26" t="s">
        <v>101</v>
      </c>
      <c r="B80" s="32" t="s">
        <v>41</v>
      </c>
      <c r="C80" s="21">
        <v>77</v>
      </c>
      <c r="D80" s="22" t="s">
        <v>142</v>
      </c>
      <c r="E80" s="22"/>
      <c r="F80" s="29" t="s">
        <v>41</v>
      </c>
      <c r="G80" s="22" t="s">
        <v>38</v>
      </c>
      <c r="H80" s="30" t="s">
        <v>41</v>
      </c>
      <c r="I80" s="26">
        <v>1</v>
      </c>
    </row>
    <row r="81" spans="1:9" ht="25.95" hidden="1" customHeight="1" x14ac:dyDescent="0.3">
      <c r="A81" s="26" t="s">
        <v>101</v>
      </c>
      <c r="B81" s="32" t="s">
        <v>41</v>
      </c>
      <c r="C81" s="27">
        <v>78</v>
      </c>
      <c r="D81" s="28" t="s">
        <v>143</v>
      </c>
      <c r="E81" s="28"/>
      <c r="F81" s="29" t="s">
        <v>41</v>
      </c>
      <c r="G81" s="28" t="s">
        <v>38</v>
      </c>
      <c r="H81" s="30" t="s">
        <v>41</v>
      </c>
      <c r="I81" s="26">
        <v>1</v>
      </c>
    </row>
    <row r="82" spans="1:9" ht="25.95" hidden="1" customHeight="1" x14ac:dyDescent="0.3">
      <c r="A82" s="26" t="s">
        <v>101</v>
      </c>
      <c r="B82" s="32" t="s">
        <v>41</v>
      </c>
      <c r="C82" s="21">
        <v>79</v>
      </c>
      <c r="D82" s="22" t="s">
        <v>144</v>
      </c>
      <c r="E82" s="22"/>
      <c r="F82" s="29" t="s">
        <v>41</v>
      </c>
      <c r="G82" s="22" t="s">
        <v>38</v>
      </c>
      <c r="H82" s="30" t="s">
        <v>41</v>
      </c>
      <c r="I82" s="26">
        <v>1</v>
      </c>
    </row>
    <row r="83" spans="1:9" ht="25.95" hidden="1" customHeight="1" x14ac:dyDescent="0.3">
      <c r="A83" s="26" t="s">
        <v>101</v>
      </c>
      <c r="B83" s="32" t="s">
        <v>41</v>
      </c>
      <c r="C83" s="27">
        <v>80</v>
      </c>
      <c r="D83" s="28" t="s">
        <v>145</v>
      </c>
      <c r="E83" s="28"/>
      <c r="F83" s="29" t="s">
        <v>41</v>
      </c>
      <c r="G83" s="28" t="s">
        <v>38</v>
      </c>
      <c r="H83" s="30" t="s">
        <v>41</v>
      </c>
      <c r="I83" s="26">
        <v>1</v>
      </c>
    </row>
    <row r="84" spans="1:9" ht="25.95" hidden="1" customHeight="1" x14ac:dyDescent="0.3">
      <c r="A84" s="26" t="s">
        <v>101</v>
      </c>
      <c r="B84" s="32" t="s">
        <v>41</v>
      </c>
      <c r="C84" s="21">
        <v>81</v>
      </c>
      <c r="D84" s="22" t="s">
        <v>146</v>
      </c>
      <c r="E84" s="22"/>
      <c r="F84" s="29" t="s">
        <v>41</v>
      </c>
      <c r="G84" s="22" t="s">
        <v>38</v>
      </c>
      <c r="H84" s="30" t="s">
        <v>41</v>
      </c>
      <c r="I84" s="26">
        <v>1</v>
      </c>
    </row>
    <row r="85" spans="1:9" ht="25.95" hidden="1" customHeight="1" x14ac:dyDescent="0.3">
      <c r="A85" s="26" t="s">
        <v>101</v>
      </c>
      <c r="B85" s="32" t="s">
        <v>41</v>
      </c>
      <c r="C85" s="27">
        <v>82</v>
      </c>
      <c r="D85" s="28" t="s">
        <v>147</v>
      </c>
      <c r="E85" s="28"/>
      <c r="F85" s="29" t="s">
        <v>41</v>
      </c>
      <c r="G85" s="28" t="s">
        <v>38</v>
      </c>
      <c r="H85" s="30" t="s">
        <v>41</v>
      </c>
      <c r="I85" s="26">
        <v>1</v>
      </c>
    </row>
    <row r="86" spans="1:9" ht="25.95" hidden="1" customHeight="1" x14ac:dyDescent="0.3">
      <c r="A86" s="26" t="s">
        <v>101</v>
      </c>
      <c r="B86" s="32" t="s">
        <v>41</v>
      </c>
      <c r="C86" s="21">
        <v>83</v>
      </c>
      <c r="D86" s="22" t="s">
        <v>148</v>
      </c>
      <c r="E86" s="22"/>
      <c r="F86" s="29" t="s">
        <v>41</v>
      </c>
      <c r="G86" s="22" t="s">
        <v>38</v>
      </c>
      <c r="H86" s="30" t="s">
        <v>41</v>
      </c>
      <c r="I86" s="26">
        <v>1</v>
      </c>
    </row>
    <row r="87" spans="1:9" ht="25.95" hidden="1" customHeight="1" x14ac:dyDescent="0.3">
      <c r="A87" s="26" t="s">
        <v>101</v>
      </c>
      <c r="B87" s="32" t="s">
        <v>41</v>
      </c>
      <c r="C87" s="27">
        <v>84</v>
      </c>
      <c r="D87" s="28" t="s">
        <v>149</v>
      </c>
      <c r="E87" s="28"/>
      <c r="F87" s="29" t="s">
        <v>41</v>
      </c>
      <c r="G87" s="28" t="s">
        <v>38</v>
      </c>
      <c r="H87" s="30" t="s">
        <v>41</v>
      </c>
      <c r="I87" s="26">
        <v>1</v>
      </c>
    </row>
    <row r="88" spans="1:9" ht="25.95" hidden="1" customHeight="1" x14ac:dyDescent="0.3">
      <c r="A88" s="26" t="s">
        <v>101</v>
      </c>
      <c r="B88" s="32" t="s">
        <v>41</v>
      </c>
      <c r="C88" s="21">
        <v>85</v>
      </c>
      <c r="D88" s="22" t="s">
        <v>150</v>
      </c>
      <c r="E88" s="22"/>
      <c r="F88" s="29" t="s">
        <v>41</v>
      </c>
      <c r="G88" s="22" t="s">
        <v>38</v>
      </c>
      <c r="H88" s="30" t="s">
        <v>41</v>
      </c>
      <c r="I88" s="26">
        <v>1</v>
      </c>
    </row>
    <row r="89" spans="1:9" ht="25.95" hidden="1" customHeight="1" x14ac:dyDescent="0.3">
      <c r="A89" s="26" t="s">
        <v>101</v>
      </c>
      <c r="B89" s="32" t="s">
        <v>41</v>
      </c>
      <c r="C89" s="27">
        <v>86</v>
      </c>
      <c r="D89" s="28" t="s">
        <v>151</v>
      </c>
      <c r="E89" s="28"/>
      <c r="F89" s="29" t="s">
        <v>41</v>
      </c>
      <c r="G89" s="28" t="s">
        <v>38</v>
      </c>
      <c r="H89" s="30" t="s">
        <v>41</v>
      </c>
      <c r="I89" s="26">
        <v>1</v>
      </c>
    </row>
    <row r="90" spans="1:9" ht="25.95" hidden="1" customHeight="1" x14ac:dyDescent="0.3">
      <c r="A90" s="26" t="s">
        <v>101</v>
      </c>
      <c r="B90" s="32" t="s">
        <v>41</v>
      </c>
      <c r="C90" s="21">
        <v>87</v>
      </c>
      <c r="D90" s="22" t="s">
        <v>152</v>
      </c>
      <c r="E90" s="22"/>
      <c r="F90" s="29" t="s">
        <v>41</v>
      </c>
      <c r="G90" s="22" t="s">
        <v>38</v>
      </c>
      <c r="H90" s="30" t="s">
        <v>41</v>
      </c>
      <c r="I90" s="26">
        <v>1</v>
      </c>
    </row>
    <row r="91" spans="1:9" ht="25.95" hidden="1" customHeight="1" x14ac:dyDescent="0.3">
      <c r="A91" s="26" t="s">
        <v>101</v>
      </c>
      <c r="B91" s="32" t="s">
        <v>41</v>
      </c>
      <c r="C91" s="27">
        <v>88</v>
      </c>
      <c r="D91" s="28" t="s">
        <v>153</v>
      </c>
      <c r="E91" s="28"/>
      <c r="F91" s="29" t="s">
        <v>41</v>
      </c>
      <c r="G91" s="28" t="s">
        <v>38</v>
      </c>
      <c r="H91" s="30" t="s">
        <v>41</v>
      </c>
      <c r="I91" s="26">
        <v>1</v>
      </c>
    </row>
    <row r="92" spans="1:9" ht="25.95" hidden="1" customHeight="1" x14ac:dyDescent="0.3">
      <c r="A92" s="26" t="s">
        <v>101</v>
      </c>
      <c r="B92" s="32" t="s">
        <v>41</v>
      </c>
      <c r="C92" s="21">
        <v>89</v>
      </c>
      <c r="D92" s="22" t="s">
        <v>154</v>
      </c>
      <c r="E92" s="22"/>
      <c r="F92" s="29" t="s">
        <v>41</v>
      </c>
      <c r="G92" s="22" t="s">
        <v>38</v>
      </c>
      <c r="H92" s="30" t="s">
        <v>41</v>
      </c>
      <c r="I92" s="26">
        <v>1</v>
      </c>
    </row>
    <row r="93" spans="1:9" ht="25.95" hidden="1" customHeight="1" x14ac:dyDescent="0.3">
      <c r="A93" s="26" t="s">
        <v>101</v>
      </c>
      <c r="B93" s="32" t="s">
        <v>41</v>
      </c>
      <c r="C93" s="27">
        <v>90</v>
      </c>
      <c r="D93" s="28" t="s">
        <v>155</v>
      </c>
      <c r="E93" s="28"/>
      <c r="F93" s="29" t="s">
        <v>41</v>
      </c>
      <c r="G93" s="28" t="s">
        <v>38</v>
      </c>
      <c r="H93" s="30" t="s">
        <v>41</v>
      </c>
      <c r="I93" s="26">
        <v>1</v>
      </c>
    </row>
    <row r="94" spans="1:9" ht="25.95" hidden="1" customHeight="1" x14ac:dyDescent="0.3">
      <c r="A94" s="26" t="s">
        <v>101</v>
      </c>
      <c r="B94" s="32" t="s">
        <v>41</v>
      </c>
      <c r="C94" s="21">
        <v>91</v>
      </c>
      <c r="D94" s="22" t="s">
        <v>156</v>
      </c>
      <c r="E94" s="22"/>
      <c r="F94" s="29" t="s">
        <v>41</v>
      </c>
      <c r="G94" s="22" t="s">
        <v>38</v>
      </c>
      <c r="H94" s="30" t="s">
        <v>41</v>
      </c>
      <c r="I94" s="26">
        <v>1</v>
      </c>
    </row>
    <row r="95" spans="1:9" ht="25.95" hidden="1" customHeight="1" x14ac:dyDescent="0.3">
      <c r="A95" s="33" t="s">
        <v>157</v>
      </c>
      <c r="B95" s="34" t="s">
        <v>158</v>
      </c>
      <c r="C95" s="27">
        <v>92</v>
      </c>
      <c r="D95" s="28" t="s">
        <v>159</v>
      </c>
      <c r="E95" s="28"/>
      <c r="F95" s="31" t="s">
        <v>9</v>
      </c>
      <c r="G95" s="25" t="s">
        <v>69</v>
      </c>
      <c r="H95" s="30" t="s">
        <v>41</v>
      </c>
      <c r="I95" s="26">
        <v>4</v>
      </c>
    </row>
    <row r="96" spans="1:9" ht="25.95" hidden="1" customHeight="1" x14ac:dyDescent="0.3">
      <c r="A96" s="33" t="s">
        <v>157</v>
      </c>
      <c r="B96" s="34" t="s">
        <v>158</v>
      </c>
      <c r="C96" s="21">
        <v>93</v>
      </c>
      <c r="D96" s="22" t="s">
        <v>160</v>
      </c>
      <c r="E96" s="22"/>
      <c r="F96" s="31" t="s">
        <v>9</v>
      </c>
      <c r="G96" s="25" t="s">
        <v>79</v>
      </c>
      <c r="H96" s="30" t="s">
        <v>41</v>
      </c>
      <c r="I96" s="26">
        <v>3</v>
      </c>
    </row>
    <row r="97" spans="1:9" ht="25.95" hidden="1" customHeight="1" x14ac:dyDescent="0.3">
      <c r="A97" s="33" t="s">
        <v>157</v>
      </c>
      <c r="B97" s="34" t="s">
        <v>158</v>
      </c>
      <c r="C97" s="27">
        <v>94</v>
      </c>
      <c r="D97" s="28" t="s">
        <v>161</v>
      </c>
      <c r="E97" s="28"/>
      <c r="F97" s="31" t="s">
        <v>9</v>
      </c>
      <c r="G97" s="25" t="s">
        <v>79</v>
      </c>
      <c r="H97" s="30" t="s">
        <v>41</v>
      </c>
      <c r="I97" s="26">
        <v>3</v>
      </c>
    </row>
    <row r="98" spans="1:9" ht="25.95" hidden="1" customHeight="1" x14ac:dyDescent="0.3">
      <c r="A98" s="33" t="s">
        <v>157</v>
      </c>
      <c r="B98" s="34" t="s">
        <v>158</v>
      </c>
      <c r="C98" s="21">
        <v>95</v>
      </c>
      <c r="D98" s="22" t="s">
        <v>162</v>
      </c>
      <c r="E98" s="22"/>
      <c r="F98" s="31" t="s">
        <v>9</v>
      </c>
      <c r="G98" s="25" t="s">
        <v>81</v>
      </c>
      <c r="H98" s="30" t="s">
        <v>41</v>
      </c>
      <c r="I98" s="26">
        <v>2</v>
      </c>
    </row>
    <row r="99" spans="1:9" ht="25.95" hidden="1" customHeight="1" x14ac:dyDescent="0.3">
      <c r="A99" s="33" t="s">
        <v>157</v>
      </c>
      <c r="B99" s="34" t="s">
        <v>158</v>
      </c>
      <c r="C99" s="27">
        <v>96</v>
      </c>
      <c r="D99" s="28" t="s">
        <v>163</v>
      </c>
      <c r="E99" s="28"/>
      <c r="F99" s="31" t="s">
        <v>9</v>
      </c>
      <c r="G99" s="25" t="s">
        <v>81</v>
      </c>
      <c r="H99" s="30" t="s">
        <v>41</v>
      </c>
      <c r="I99" s="26">
        <v>2</v>
      </c>
    </row>
    <row r="100" spans="1:9" ht="25.95" hidden="1" customHeight="1" x14ac:dyDescent="0.3">
      <c r="A100" s="33" t="s">
        <v>157</v>
      </c>
      <c r="B100" s="34" t="s">
        <v>158</v>
      </c>
      <c r="C100" s="21">
        <v>97</v>
      </c>
      <c r="D100" s="22" t="s">
        <v>164</v>
      </c>
      <c r="E100" s="22"/>
      <c r="F100" s="31" t="s">
        <v>9</v>
      </c>
      <c r="G100" s="25" t="s">
        <v>69</v>
      </c>
      <c r="H100" s="30" t="s">
        <v>41</v>
      </c>
      <c r="I100" s="26">
        <v>4</v>
      </c>
    </row>
    <row r="101" spans="1:9" ht="25.95" hidden="1" customHeight="1" x14ac:dyDescent="0.3">
      <c r="A101" s="33" t="s">
        <v>157</v>
      </c>
      <c r="B101" s="34" t="s">
        <v>158</v>
      </c>
      <c r="C101" s="27">
        <v>98</v>
      </c>
      <c r="D101" s="28" t="s">
        <v>165</v>
      </c>
      <c r="E101" s="28"/>
      <c r="F101" s="31" t="s">
        <v>9</v>
      </c>
      <c r="G101" s="25" t="s">
        <v>79</v>
      </c>
      <c r="H101" s="30" t="s">
        <v>41</v>
      </c>
      <c r="I101" s="26">
        <v>3</v>
      </c>
    </row>
    <row r="102" spans="1:9" ht="25.95" hidden="1" customHeight="1" x14ac:dyDescent="0.3">
      <c r="A102" s="33" t="s">
        <v>157</v>
      </c>
      <c r="B102" s="34" t="s">
        <v>158</v>
      </c>
      <c r="C102" s="21">
        <v>99</v>
      </c>
      <c r="D102" s="22" t="s">
        <v>166</v>
      </c>
      <c r="E102" s="22"/>
      <c r="F102" s="31" t="s">
        <v>9</v>
      </c>
      <c r="G102" s="25" t="s">
        <v>167</v>
      </c>
      <c r="H102" s="30" t="s">
        <v>41</v>
      </c>
      <c r="I102" s="26">
        <v>2</v>
      </c>
    </row>
    <row r="103" spans="1:9" ht="25.95" hidden="1" customHeight="1" x14ac:dyDescent="0.3">
      <c r="A103" s="33" t="s">
        <v>157</v>
      </c>
      <c r="B103" s="34" t="s">
        <v>158</v>
      </c>
      <c r="C103" s="27">
        <v>100</v>
      </c>
      <c r="D103" s="28" t="s">
        <v>168</v>
      </c>
      <c r="E103" s="28"/>
      <c r="F103" s="31" t="s">
        <v>9</v>
      </c>
      <c r="G103" s="25" t="s">
        <v>45</v>
      </c>
      <c r="H103" s="30" t="s">
        <v>41</v>
      </c>
      <c r="I103" s="26">
        <v>2</v>
      </c>
    </row>
    <row r="104" spans="1:9" ht="25.95" hidden="1" customHeight="1" x14ac:dyDescent="0.3">
      <c r="A104" s="33" t="s">
        <v>157</v>
      </c>
      <c r="B104" s="34" t="s">
        <v>158</v>
      </c>
      <c r="C104" s="21">
        <v>101</v>
      </c>
      <c r="D104" s="22" t="s">
        <v>169</v>
      </c>
      <c r="E104" s="22"/>
      <c r="F104" s="31" t="s">
        <v>9</v>
      </c>
      <c r="G104" s="25" t="s">
        <v>170</v>
      </c>
      <c r="H104" s="30" t="s">
        <v>41</v>
      </c>
      <c r="I104" s="26">
        <v>4</v>
      </c>
    </row>
    <row r="105" spans="1:9" ht="25.95" hidden="1" customHeight="1" x14ac:dyDescent="0.3">
      <c r="A105" s="33" t="s">
        <v>157</v>
      </c>
      <c r="B105" s="34" t="s">
        <v>158</v>
      </c>
      <c r="C105" s="27">
        <v>102</v>
      </c>
      <c r="D105" s="28" t="s">
        <v>171</v>
      </c>
      <c r="E105" s="28"/>
      <c r="F105" s="31" t="s">
        <v>9</v>
      </c>
      <c r="G105" s="25" t="s">
        <v>45</v>
      </c>
      <c r="H105" s="30" t="s">
        <v>41</v>
      </c>
      <c r="I105" s="26">
        <v>2</v>
      </c>
    </row>
    <row r="106" spans="1:9" ht="25.95" hidden="1" customHeight="1" x14ac:dyDescent="0.3">
      <c r="A106" s="33" t="s">
        <v>157</v>
      </c>
      <c r="B106" s="34" t="s">
        <v>158</v>
      </c>
      <c r="C106" s="21">
        <v>103</v>
      </c>
      <c r="D106" s="22" t="s">
        <v>172</v>
      </c>
      <c r="E106" s="22"/>
      <c r="F106" s="31" t="s">
        <v>9</v>
      </c>
      <c r="G106" s="25" t="s">
        <v>81</v>
      </c>
      <c r="H106" s="30" t="s">
        <v>41</v>
      </c>
      <c r="I106" s="26">
        <v>2</v>
      </c>
    </row>
    <row r="107" spans="1:9" ht="25.95" hidden="1" customHeight="1" x14ac:dyDescent="0.3">
      <c r="A107" s="33" t="s">
        <v>157</v>
      </c>
      <c r="B107" s="34" t="s">
        <v>158</v>
      </c>
      <c r="C107" s="27">
        <v>104</v>
      </c>
      <c r="D107" s="28" t="s">
        <v>173</v>
      </c>
      <c r="E107" s="28"/>
      <c r="F107" s="31" t="s">
        <v>9</v>
      </c>
      <c r="G107" s="25" t="s">
        <v>79</v>
      </c>
      <c r="H107" s="30" t="s">
        <v>41</v>
      </c>
      <c r="I107" s="26">
        <v>3</v>
      </c>
    </row>
    <row r="108" spans="1:9" ht="25.95" hidden="1" customHeight="1" x14ac:dyDescent="0.3">
      <c r="A108" s="33" t="s">
        <v>157</v>
      </c>
      <c r="B108" s="34" t="s">
        <v>158</v>
      </c>
      <c r="C108" s="21">
        <v>105</v>
      </c>
      <c r="D108" s="22" t="s">
        <v>174</v>
      </c>
      <c r="E108" s="22"/>
      <c r="F108" s="31" t="s">
        <v>9</v>
      </c>
      <c r="G108" s="25" t="s">
        <v>45</v>
      </c>
      <c r="H108" s="30" t="s">
        <v>41</v>
      </c>
      <c r="I108" s="26">
        <v>2</v>
      </c>
    </row>
    <row r="109" spans="1:9" ht="25.95" hidden="1" customHeight="1" x14ac:dyDescent="0.3">
      <c r="A109" s="33" t="s">
        <v>157</v>
      </c>
      <c r="B109" s="34" t="s">
        <v>158</v>
      </c>
      <c r="C109" s="27">
        <v>106</v>
      </c>
      <c r="D109" s="28" t="s">
        <v>175</v>
      </c>
      <c r="E109" s="28"/>
      <c r="F109" s="31" t="s">
        <v>9</v>
      </c>
      <c r="G109" s="25" t="s">
        <v>81</v>
      </c>
      <c r="H109" s="30" t="s">
        <v>41</v>
      </c>
      <c r="I109" s="26">
        <v>2</v>
      </c>
    </row>
    <row r="110" spans="1:9" ht="25.95" hidden="1" customHeight="1" x14ac:dyDescent="0.3">
      <c r="A110" s="33" t="s">
        <v>157</v>
      </c>
      <c r="B110" s="34" t="s">
        <v>158</v>
      </c>
      <c r="C110" s="21">
        <v>107</v>
      </c>
      <c r="D110" s="22" t="s">
        <v>176</v>
      </c>
      <c r="E110" s="22"/>
      <c r="F110" s="31" t="s">
        <v>9</v>
      </c>
      <c r="G110" s="25" t="s">
        <v>177</v>
      </c>
      <c r="H110" s="30" t="s">
        <v>41</v>
      </c>
      <c r="I110" s="26">
        <v>2</v>
      </c>
    </row>
    <row r="111" spans="1:9" ht="25.95" hidden="1" customHeight="1" x14ac:dyDescent="0.3">
      <c r="A111" s="33" t="s">
        <v>157</v>
      </c>
      <c r="B111" s="34" t="s">
        <v>158</v>
      </c>
      <c r="C111" s="27">
        <v>108</v>
      </c>
      <c r="D111" s="28" t="s">
        <v>178</v>
      </c>
      <c r="E111" s="28"/>
      <c r="F111" s="31" t="s">
        <v>9</v>
      </c>
      <c r="G111" s="25" t="s">
        <v>179</v>
      </c>
      <c r="H111" s="30" t="s">
        <v>41</v>
      </c>
      <c r="I111" s="26">
        <v>3</v>
      </c>
    </row>
    <row r="112" spans="1:9" ht="25.95" hidden="1" customHeight="1" x14ac:dyDescent="0.3">
      <c r="A112" s="33" t="s">
        <v>157</v>
      </c>
      <c r="B112" s="34" t="s">
        <v>158</v>
      </c>
      <c r="C112" s="21">
        <v>109</v>
      </c>
      <c r="D112" s="22" t="s">
        <v>180</v>
      </c>
      <c r="E112" s="22"/>
      <c r="F112" s="31" t="s">
        <v>9</v>
      </c>
      <c r="G112" s="25" t="s">
        <v>61</v>
      </c>
      <c r="H112" s="30" t="s">
        <v>41</v>
      </c>
      <c r="I112" s="26">
        <v>3</v>
      </c>
    </row>
    <row r="113" spans="1:9" ht="25.95" hidden="1" customHeight="1" x14ac:dyDescent="0.3">
      <c r="A113" s="33" t="s">
        <v>157</v>
      </c>
      <c r="B113" s="34" t="s">
        <v>158</v>
      </c>
      <c r="C113" s="27">
        <v>110</v>
      </c>
      <c r="D113" s="28" t="s">
        <v>181</v>
      </c>
      <c r="E113" s="28"/>
      <c r="F113" s="31" t="s">
        <v>9</v>
      </c>
      <c r="G113" s="25" t="s">
        <v>182</v>
      </c>
      <c r="H113" s="30" t="s">
        <v>41</v>
      </c>
      <c r="I113" s="26">
        <v>4</v>
      </c>
    </row>
    <row r="114" spans="1:9" ht="25.95" hidden="1" customHeight="1" x14ac:dyDescent="0.3">
      <c r="A114" s="33" t="s">
        <v>157</v>
      </c>
      <c r="B114" s="34" t="s">
        <v>158</v>
      </c>
      <c r="C114" s="21">
        <v>111</v>
      </c>
      <c r="D114" s="22" t="s">
        <v>183</v>
      </c>
      <c r="E114" s="22"/>
      <c r="F114" s="31" t="s">
        <v>9</v>
      </c>
      <c r="G114" s="25" t="s">
        <v>184</v>
      </c>
      <c r="H114" s="30" t="s">
        <v>41</v>
      </c>
      <c r="I114" s="26">
        <v>3</v>
      </c>
    </row>
    <row r="115" spans="1:9" ht="25.95" hidden="1" customHeight="1" x14ac:dyDescent="0.3">
      <c r="A115" s="33" t="s">
        <v>157</v>
      </c>
      <c r="B115" s="34" t="s">
        <v>158</v>
      </c>
      <c r="C115" s="27">
        <v>112</v>
      </c>
      <c r="D115" s="28" t="s">
        <v>185</v>
      </c>
      <c r="E115" s="28"/>
      <c r="F115" s="31" t="s">
        <v>9</v>
      </c>
      <c r="G115" s="25" t="s">
        <v>186</v>
      </c>
      <c r="H115" s="30" t="s">
        <v>41</v>
      </c>
      <c r="I115" s="26">
        <v>3</v>
      </c>
    </row>
    <row r="116" spans="1:9" ht="25.95" hidden="1" customHeight="1" x14ac:dyDescent="0.3">
      <c r="A116" s="33" t="s">
        <v>157</v>
      </c>
      <c r="B116" s="34" t="s">
        <v>158</v>
      </c>
      <c r="C116" s="21">
        <v>113</v>
      </c>
      <c r="D116" s="22" t="s">
        <v>187</v>
      </c>
      <c r="E116" s="22"/>
      <c r="F116" s="31" t="s">
        <v>9</v>
      </c>
      <c r="G116" s="25" t="s">
        <v>177</v>
      </c>
      <c r="H116" s="30" t="s">
        <v>41</v>
      </c>
      <c r="I116" s="26">
        <v>2</v>
      </c>
    </row>
    <row r="117" spans="1:9" ht="25.95" hidden="1" customHeight="1" x14ac:dyDescent="0.3">
      <c r="A117" s="35" t="s">
        <v>188</v>
      </c>
      <c r="B117" s="36" t="s">
        <v>189</v>
      </c>
      <c r="C117" s="27">
        <v>114</v>
      </c>
      <c r="D117" s="28" t="s">
        <v>190</v>
      </c>
      <c r="E117" s="28"/>
      <c r="F117" s="24" t="s">
        <v>36</v>
      </c>
      <c r="G117" s="25" t="s">
        <v>61</v>
      </c>
      <c r="H117" s="28" t="s">
        <v>38</v>
      </c>
      <c r="I117" s="26">
        <v>2</v>
      </c>
    </row>
    <row r="118" spans="1:9" ht="25.95" hidden="1" customHeight="1" x14ac:dyDescent="0.3">
      <c r="A118" s="35" t="s">
        <v>188</v>
      </c>
      <c r="B118" s="36" t="s">
        <v>189</v>
      </c>
      <c r="C118" s="21">
        <v>115</v>
      </c>
      <c r="D118" s="22" t="s">
        <v>191</v>
      </c>
      <c r="E118" s="22"/>
      <c r="F118" s="24" t="s">
        <v>36</v>
      </c>
      <c r="G118" s="25" t="s">
        <v>61</v>
      </c>
      <c r="H118" s="22" t="s">
        <v>38</v>
      </c>
      <c r="I118" s="26">
        <v>2</v>
      </c>
    </row>
    <row r="119" spans="1:9" ht="25.95" hidden="1" customHeight="1" x14ac:dyDescent="0.3">
      <c r="A119" s="35" t="s">
        <v>188</v>
      </c>
      <c r="B119" s="36" t="s">
        <v>189</v>
      </c>
      <c r="C119" s="27">
        <v>116</v>
      </c>
      <c r="D119" s="28" t="s">
        <v>192</v>
      </c>
      <c r="E119" s="28"/>
      <c r="F119" s="24" t="s">
        <v>36</v>
      </c>
      <c r="G119" s="25" t="s">
        <v>61</v>
      </c>
      <c r="H119" s="28" t="s">
        <v>38</v>
      </c>
      <c r="I119" s="26">
        <v>2</v>
      </c>
    </row>
    <row r="120" spans="1:9" ht="25.95" hidden="1" customHeight="1" x14ac:dyDescent="0.3">
      <c r="A120" s="35" t="s">
        <v>188</v>
      </c>
      <c r="B120" s="36" t="s">
        <v>189</v>
      </c>
      <c r="C120" s="21">
        <v>117</v>
      </c>
      <c r="D120" s="22" t="s">
        <v>193</v>
      </c>
      <c r="E120" s="22"/>
      <c r="F120" s="24" t="s">
        <v>36</v>
      </c>
      <c r="G120" s="25" t="s">
        <v>88</v>
      </c>
      <c r="H120" s="22" t="s">
        <v>38</v>
      </c>
      <c r="I120" s="26">
        <v>3</v>
      </c>
    </row>
    <row r="121" spans="1:9" ht="25.95" hidden="1" customHeight="1" x14ac:dyDescent="0.3">
      <c r="A121" s="35" t="s">
        <v>188</v>
      </c>
      <c r="B121" s="36" t="s">
        <v>189</v>
      </c>
      <c r="C121" s="27">
        <v>118</v>
      </c>
      <c r="D121" s="28" t="s">
        <v>194</v>
      </c>
      <c r="E121" s="28"/>
      <c r="F121" s="24" t="s">
        <v>36</v>
      </c>
      <c r="G121" s="25" t="s">
        <v>61</v>
      </c>
      <c r="H121" s="28" t="s">
        <v>38</v>
      </c>
      <c r="I121" s="26">
        <v>2</v>
      </c>
    </row>
    <row r="122" spans="1:9" ht="25.95" hidden="1" customHeight="1" x14ac:dyDescent="0.3">
      <c r="A122" s="35" t="s">
        <v>188</v>
      </c>
      <c r="B122" s="36" t="s">
        <v>189</v>
      </c>
      <c r="C122" s="21">
        <v>119</v>
      </c>
      <c r="D122" s="22" t="s">
        <v>195</v>
      </c>
      <c r="E122" s="22"/>
      <c r="F122" s="24" t="s">
        <v>36</v>
      </c>
      <c r="G122" s="25" t="s">
        <v>55</v>
      </c>
      <c r="H122" s="22" t="s">
        <v>38</v>
      </c>
      <c r="I122" s="26">
        <v>6</v>
      </c>
    </row>
    <row r="123" spans="1:9" ht="25.95" hidden="1" customHeight="1" x14ac:dyDescent="0.3">
      <c r="A123" s="35" t="s">
        <v>188</v>
      </c>
      <c r="B123" s="36" t="s">
        <v>189</v>
      </c>
      <c r="C123" s="27">
        <v>120</v>
      </c>
      <c r="D123" s="28" t="s">
        <v>196</v>
      </c>
      <c r="E123" s="28"/>
      <c r="F123" s="24" t="s">
        <v>36</v>
      </c>
      <c r="G123" s="25" t="s">
        <v>59</v>
      </c>
      <c r="H123" s="28" t="s">
        <v>38</v>
      </c>
      <c r="I123" s="26">
        <v>3</v>
      </c>
    </row>
    <row r="124" spans="1:9" ht="25.95" hidden="1" customHeight="1" x14ac:dyDescent="0.3">
      <c r="A124" s="35" t="s">
        <v>188</v>
      </c>
      <c r="B124" s="36" t="s">
        <v>189</v>
      </c>
      <c r="C124" s="21">
        <v>121</v>
      </c>
      <c r="D124" s="22" t="s">
        <v>197</v>
      </c>
      <c r="E124" s="22"/>
      <c r="F124" s="24" t="s">
        <v>36</v>
      </c>
      <c r="G124" s="25" t="s">
        <v>198</v>
      </c>
      <c r="H124" s="22" t="s">
        <v>38</v>
      </c>
      <c r="I124" s="26">
        <v>4</v>
      </c>
    </row>
    <row r="125" spans="1:9" ht="25.95" hidden="1" customHeight="1" x14ac:dyDescent="0.3">
      <c r="A125" s="35" t="s">
        <v>188</v>
      </c>
      <c r="B125" s="36" t="s">
        <v>189</v>
      </c>
      <c r="C125" s="27">
        <v>122</v>
      </c>
      <c r="D125" s="28" t="s">
        <v>199</v>
      </c>
      <c r="E125" s="28"/>
      <c r="F125" s="24" t="s">
        <v>36</v>
      </c>
      <c r="G125" s="25" t="s">
        <v>61</v>
      </c>
      <c r="H125" s="28" t="s">
        <v>38</v>
      </c>
      <c r="I125" s="26">
        <v>2</v>
      </c>
    </row>
    <row r="126" spans="1:9" ht="25.95" hidden="1" customHeight="1" x14ac:dyDescent="0.3">
      <c r="A126" s="35" t="s">
        <v>188</v>
      </c>
      <c r="B126" s="36" t="s">
        <v>189</v>
      </c>
      <c r="C126" s="21">
        <v>123</v>
      </c>
      <c r="D126" s="22" t="s">
        <v>200</v>
      </c>
      <c r="E126" s="22"/>
      <c r="F126" s="24" t="s">
        <v>36</v>
      </c>
      <c r="G126" s="25" t="s">
        <v>201</v>
      </c>
      <c r="H126" s="22" t="s">
        <v>38</v>
      </c>
      <c r="I126" s="26">
        <v>3</v>
      </c>
    </row>
    <row r="127" spans="1:9" ht="25.95" hidden="1" customHeight="1" x14ac:dyDescent="0.3">
      <c r="A127" s="35" t="s">
        <v>188</v>
      </c>
      <c r="B127" s="36" t="s">
        <v>189</v>
      </c>
      <c r="C127" s="27">
        <v>124</v>
      </c>
      <c r="D127" s="28" t="s">
        <v>202</v>
      </c>
      <c r="E127" s="28"/>
      <c r="F127" s="24" t="s">
        <v>36</v>
      </c>
      <c r="G127" s="25" t="s">
        <v>61</v>
      </c>
      <c r="H127" s="28" t="s">
        <v>38</v>
      </c>
      <c r="I127" s="26">
        <v>2</v>
      </c>
    </row>
    <row r="128" spans="1:9" ht="25.95" hidden="1" customHeight="1" x14ac:dyDescent="0.3">
      <c r="A128" s="35" t="s">
        <v>188</v>
      </c>
      <c r="B128" s="36" t="s">
        <v>189</v>
      </c>
      <c r="C128" s="21">
        <v>125</v>
      </c>
      <c r="D128" s="22" t="s">
        <v>203</v>
      </c>
      <c r="E128" s="22"/>
      <c r="F128" s="24" t="s">
        <v>36</v>
      </c>
      <c r="G128" s="25" t="s">
        <v>204</v>
      </c>
      <c r="H128" s="22" t="s">
        <v>38</v>
      </c>
      <c r="I128" s="26">
        <v>3</v>
      </c>
    </row>
    <row r="129" spans="1:9" ht="25.95" hidden="1" customHeight="1" x14ac:dyDescent="0.3">
      <c r="A129" s="35" t="s">
        <v>188</v>
      </c>
      <c r="B129" s="36" t="s">
        <v>189</v>
      </c>
      <c r="C129" s="27">
        <v>126</v>
      </c>
      <c r="D129" s="28" t="s">
        <v>205</v>
      </c>
      <c r="E129" s="28"/>
      <c r="F129" s="24" t="s">
        <v>36</v>
      </c>
      <c r="G129" s="25" t="s">
        <v>206</v>
      </c>
      <c r="H129" s="28" t="s">
        <v>38</v>
      </c>
      <c r="I129" s="26">
        <v>5</v>
      </c>
    </row>
    <row r="130" spans="1:9" ht="25.95" hidden="1" customHeight="1" x14ac:dyDescent="0.3">
      <c r="A130" s="35" t="s">
        <v>188</v>
      </c>
      <c r="B130" s="36" t="s">
        <v>189</v>
      </c>
      <c r="C130" s="21">
        <v>127</v>
      </c>
      <c r="D130" s="22" t="s">
        <v>207</v>
      </c>
      <c r="E130" s="22"/>
      <c r="F130" s="24" t="s">
        <v>36</v>
      </c>
      <c r="G130" s="25" t="s">
        <v>184</v>
      </c>
      <c r="H130" s="22" t="s">
        <v>38</v>
      </c>
      <c r="I130" s="26">
        <v>2</v>
      </c>
    </row>
    <row r="131" spans="1:9" ht="25.95" hidden="1" customHeight="1" x14ac:dyDescent="0.3">
      <c r="A131" s="35" t="s">
        <v>188</v>
      </c>
      <c r="B131" s="36" t="s">
        <v>189</v>
      </c>
      <c r="C131" s="27">
        <v>128</v>
      </c>
      <c r="D131" s="28" t="s">
        <v>208</v>
      </c>
      <c r="E131" s="28"/>
      <c r="F131" s="24" t="s">
        <v>36</v>
      </c>
      <c r="G131" s="25" t="s">
        <v>79</v>
      </c>
      <c r="H131" s="28" t="s">
        <v>38</v>
      </c>
      <c r="I131" s="26">
        <v>2</v>
      </c>
    </row>
    <row r="132" spans="1:9" ht="25.95" hidden="1" customHeight="1" x14ac:dyDescent="0.3">
      <c r="A132" s="35" t="s">
        <v>188</v>
      </c>
      <c r="B132" s="36" t="s">
        <v>189</v>
      </c>
      <c r="C132" s="21">
        <v>129</v>
      </c>
      <c r="D132" s="22" t="s">
        <v>209</v>
      </c>
      <c r="E132" s="22"/>
      <c r="F132" s="24" t="s">
        <v>36</v>
      </c>
      <c r="G132" s="25" t="s">
        <v>61</v>
      </c>
      <c r="H132" s="22" t="s">
        <v>38</v>
      </c>
      <c r="I132" s="26">
        <v>2</v>
      </c>
    </row>
    <row r="133" spans="1:9" ht="25.95" hidden="1" customHeight="1" x14ac:dyDescent="0.3">
      <c r="A133" s="35" t="s">
        <v>188</v>
      </c>
      <c r="B133" s="36" t="s">
        <v>189</v>
      </c>
      <c r="C133" s="27">
        <v>130</v>
      </c>
      <c r="D133" s="28" t="s">
        <v>210</v>
      </c>
      <c r="E133" s="28"/>
      <c r="F133" s="24" t="s">
        <v>36</v>
      </c>
      <c r="G133" s="25" t="s">
        <v>61</v>
      </c>
      <c r="H133" s="28" t="s">
        <v>38</v>
      </c>
      <c r="I133" s="26">
        <v>2</v>
      </c>
    </row>
    <row r="134" spans="1:9" ht="25.95" hidden="1" customHeight="1" x14ac:dyDescent="0.3">
      <c r="A134" s="35" t="s">
        <v>188</v>
      </c>
      <c r="B134" s="36" t="s">
        <v>189</v>
      </c>
      <c r="C134" s="21">
        <v>131</v>
      </c>
      <c r="D134" s="22" t="s">
        <v>211</v>
      </c>
      <c r="E134" s="22"/>
      <c r="F134" s="24" t="s">
        <v>36</v>
      </c>
      <c r="G134" s="25" t="s">
        <v>212</v>
      </c>
      <c r="H134" s="22" t="s">
        <v>38</v>
      </c>
      <c r="I134" s="26">
        <v>4</v>
      </c>
    </row>
    <row r="135" spans="1:9" ht="25.95" hidden="1" customHeight="1" x14ac:dyDescent="0.3">
      <c r="A135" s="35" t="s">
        <v>188</v>
      </c>
      <c r="B135" s="36" t="s">
        <v>189</v>
      </c>
      <c r="C135" s="27">
        <v>132</v>
      </c>
      <c r="D135" s="28" t="s">
        <v>213</v>
      </c>
      <c r="E135" s="28"/>
      <c r="F135" s="24" t="s">
        <v>36</v>
      </c>
      <c r="G135" s="25" t="s">
        <v>61</v>
      </c>
      <c r="H135" s="28" t="s">
        <v>38</v>
      </c>
      <c r="I135" s="26">
        <v>2</v>
      </c>
    </row>
    <row r="136" spans="1:9" ht="25.95" hidden="1" customHeight="1" x14ac:dyDescent="0.3">
      <c r="A136" s="35" t="s">
        <v>188</v>
      </c>
      <c r="B136" s="36" t="s">
        <v>189</v>
      </c>
      <c r="C136" s="21">
        <v>133</v>
      </c>
      <c r="D136" s="22" t="s">
        <v>214</v>
      </c>
      <c r="E136" s="22"/>
      <c r="F136" s="24" t="s">
        <v>36</v>
      </c>
      <c r="G136" s="25" t="s">
        <v>79</v>
      </c>
      <c r="H136" s="22" t="s">
        <v>38</v>
      </c>
      <c r="I136" s="26">
        <v>2</v>
      </c>
    </row>
    <row r="137" spans="1:9" ht="25.95" hidden="1" customHeight="1" x14ac:dyDescent="0.3">
      <c r="A137" s="35" t="s">
        <v>188</v>
      </c>
      <c r="B137" s="36" t="s">
        <v>189</v>
      </c>
      <c r="C137" s="27">
        <v>134</v>
      </c>
      <c r="D137" s="28" t="s">
        <v>215</v>
      </c>
      <c r="E137" s="28"/>
      <c r="F137" s="24" t="s">
        <v>36</v>
      </c>
      <c r="G137" s="25" t="s">
        <v>184</v>
      </c>
      <c r="H137" s="28" t="s">
        <v>38</v>
      </c>
      <c r="I137" s="26">
        <v>2</v>
      </c>
    </row>
    <row r="138" spans="1:9" ht="25.95" hidden="1" customHeight="1" x14ac:dyDescent="0.3">
      <c r="A138" s="35" t="s">
        <v>188</v>
      </c>
      <c r="B138" s="36" t="s">
        <v>189</v>
      </c>
      <c r="C138" s="21">
        <v>135</v>
      </c>
      <c r="D138" s="22" t="s">
        <v>216</v>
      </c>
      <c r="E138" s="22"/>
      <c r="F138" s="24" t="s">
        <v>36</v>
      </c>
      <c r="G138" s="25" t="s">
        <v>61</v>
      </c>
      <c r="H138" s="22" t="s">
        <v>38</v>
      </c>
      <c r="I138" s="26">
        <v>2</v>
      </c>
    </row>
    <row r="139" spans="1:9" ht="25.95" hidden="1" customHeight="1" x14ac:dyDescent="0.3">
      <c r="A139" s="35" t="s">
        <v>188</v>
      </c>
      <c r="B139" s="36" t="s">
        <v>189</v>
      </c>
      <c r="C139" s="27">
        <v>136</v>
      </c>
      <c r="D139" s="28" t="s">
        <v>217</v>
      </c>
      <c r="E139" s="28"/>
      <c r="F139" s="24" t="s">
        <v>36</v>
      </c>
      <c r="G139" s="25" t="s">
        <v>218</v>
      </c>
      <c r="H139" s="28" t="s">
        <v>38</v>
      </c>
      <c r="I139" s="26">
        <v>2</v>
      </c>
    </row>
    <row r="140" spans="1:9" ht="25.95" hidden="1" customHeight="1" x14ac:dyDescent="0.3">
      <c r="A140" s="35" t="s">
        <v>188</v>
      </c>
      <c r="B140" s="36" t="s">
        <v>189</v>
      </c>
      <c r="C140" s="21">
        <v>137</v>
      </c>
      <c r="D140" s="22" t="s">
        <v>219</v>
      </c>
      <c r="E140" s="22"/>
      <c r="F140" s="24" t="s">
        <v>36</v>
      </c>
      <c r="G140" s="25" t="s">
        <v>61</v>
      </c>
      <c r="H140" s="22" t="s">
        <v>38</v>
      </c>
      <c r="I140" s="26">
        <v>2</v>
      </c>
    </row>
    <row r="141" spans="1:9" ht="25.95" hidden="1" customHeight="1" x14ac:dyDescent="0.3">
      <c r="A141" s="35" t="s">
        <v>188</v>
      </c>
      <c r="B141" s="36" t="s">
        <v>189</v>
      </c>
      <c r="C141" s="27">
        <v>138</v>
      </c>
      <c r="D141" s="28" t="s">
        <v>220</v>
      </c>
      <c r="E141" s="28"/>
      <c r="F141" s="24" t="s">
        <v>36</v>
      </c>
      <c r="G141" s="25" t="s">
        <v>221</v>
      </c>
      <c r="H141" s="28" t="s">
        <v>38</v>
      </c>
      <c r="I141" s="26">
        <v>2</v>
      </c>
    </row>
    <row r="142" spans="1:9" ht="25.95" hidden="1" customHeight="1" x14ac:dyDescent="0.3">
      <c r="A142" s="35" t="s">
        <v>188</v>
      </c>
      <c r="B142" s="36" t="s">
        <v>189</v>
      </c>
      <c r="C142" s="21">
        <v>139</v>
      </c>
      <c r="D142" s="22" t="s">
        <v>222</v>
      </c>
      <c r="E142" s="22"/>
      <c r="F142" s="24" t="s">
        <v>36</v>
      </c>
      <c r="G142" s="25" t="s">
        <v>223</v>
      </c>
      <c r="H142" s="22" t="s">
        <v>38</v>
      </c>
      <c r="I142" s="26">
        <v>2</v>
      </c>
    </row>
    <row r="143" spans="1:9" ht="25.95" hidden="1" customHeight="1" x14ac:dyDescent="0.3">
      <c r="A143" s="35" t="s">
        <v>188</v>
      </c>
      <c r="B143" s="36" t="s">
        <v>189</v>
      </c>
      <c r="C143" s="27">
        <v>140</v>
      </c>
      <c r="D143" s="28" t="s">
        <v>224</v>
      </c>
      <c r="E143" s="28"/>
      <c r="F143" s="24" t="s">
        <v>36</v>
      </c>
      <c r="G143" s="25" t="s">
        <v>61</v>
      </c>
      <c r="H143" s="28" t="s">
        <v>38</v>
      </c>
      <c r="I143" s="26">
        <v>2</v>
      </c>
    </row>
    <row r="144" spans="1:9" ht="25.95" hidden="1" customHeight="1" x14ac:dyDescent="0.3">
      <c r="A144" s="35" t="s">
        <v>188</v>
      </c>
      <c r="B144" s="36" t="s">
        <v>189</v>
      </c>
      <c r="C144" s="21">
        <v>141</v>
      </c>
      <c r="D144" s="22" t="s">
        <v>225</v>
      </c>
      <c r="E144" s="22"/>
      <c r="F144" s="24" t="s">
        <v>36</v>
      </c>
      <c r="G144" s="25" t="s">
        <v>226</v>
      </c>
      <c r="H144" s="22" t="s">
        <v>38</v>
      </c>
      <c r="I144" s="26">
        <v>4</v>
      </c>
    </row>
    <row r="145" spans="1:9" ht="25.95" hidden="1" customHeight="1" x14ac:dyDescent="0.3">
      <c r="A145" s="35" t="s">
        <v>188</v>
      </c>
      <c r="B145" s="36" t="s">
        <v>189</v>
      </c>
      <c r="C145" s="27">
        <v>142</v>
      </c>
      <c r="D145" s="28" t="s">
        <v>227</v>
      </c>
      <c r="E145" s="28"/>
      <c r="F145" s="24" t="s">
        <v>36</v>
      </c>
      <c r="G145" s="25" t="s">
        <v>79</v>
      </c>
      <c r="H145" s="28" t="s">
        <v>38</v>
      </c>
      <c r="I145" s="26">
        <v>2</v>
      </c>
    </row>
    <row r="146" spans="1:9" ht="25.95" hidden="1" customHeight="1" x14ac:dyDescent="0.3">
      <c r="A146" s="35" t="s">
        <v>188</v>
      </c>
      <c r="B146" s="36" t="s">
        <v>189</v>
      </c>
      <c r="C146" s="21">
        <v>143</v>
      </c>
      <c r="D146" s="22" t="s">
        <v>228</v>
      </c>
      <c r="E146" s="22"/>
      <c r="F146" s="24" t="s">
        <v>36</v>
      </c>
      <c r="G146" s="25" t="s">
        <v>179</v>
      </c>
      <c r="H146" s="22" t="s">
        <v>38</v>
      </c>
      <c r="I146" s="26">
        <v>2</v>
      </c>
    </row>
    <row r="147" spans="1:9" ht="25.95" hidden="1" customHeight="1" x14ac:dyDescent="0.3">
      <c r="A147" s="35" t="s">
        <v>188</v>
      </c>
      <c r="B147" s="36" t="s">
        <v>189</v>
      </c>
      <c r="C147" s="27">
        <v>144</v>
      </c>
      <c r="D147" s="28" t="s">
        <v>229</v>
      </c>
      <c r="E147" s="28"/>
      <c r="F147" s="24" t="s">
        <v>36</v>
      </c>
      <c r="G147" s="25" t="s">
        <v>79</v>
      </c>
      <c r="H147" s="28" t="s">
        <v>38</v>
      </c>
      <c r="I147" s="26">
        <v>2</v>
      </c>
    </row>
    <row r="148" spans="1:9" ht="25.95" hidden="1" customHeight="1" x14ac:dyDescent="0.3">
      <c r="A148" s="35" t="s">
        <v>188</v>
      </c>
      <c r="B148" s="36" t="s">
        <v>189</v>
      </c>
      <c r="C148" s="21">
        <v>145</v>
      </c>
      <c r="D148" s="22" t="s">
        <v>230</v>
      </c>
      <c r="E148" s="22"/>
      <c r="F148" s="24" t="s">
        <v>36</v>
      </c>
      <c r="G148" s="25" t="s">
        <v>61</v>
      </c>
      <c r="H148" s="22" t="s">
        <v>38</v>
      </c>
      <c r="I148" s="26">
        <v>2</v>
      </c>
    </row>
    <row r="149" spans="1:9" ht="25.95" hidden="1" customHeight="1" x14ac:dyDescent="0.3">
      <c r="A149" s="35" t="s">
        <v>188</v>
      </c>
      <c r="B149" s="36" t="s">
        <v>189</v>
      </c>
      <c r="C149" s="27">
        <v>146</v>
      </c>
      <c r="D149" s="28" t="s">
        <v>231</v>
      </c>
      <c r="E149" s="28"/>
      <c r="F149" s="24" t="s">
        <v>36</v>
      </c>
      <c r="G149" s="25" t="s">
        <v>232</v>
      </c>
      <c r="H149" s="28" t="s">
        <v>38</v>
      </c>
      <c r="I149" s="26">
        <v>4</v>
      </c>
    </row>
    <row r="150" spans="1:9" ht="25.95" hidden="1" customHeight="1" x14ac:dyDescent="0.3">
      <c r="A150" s="35" t="s">
        <v>188</v>
      </c>
      <c r="B150" s="36" t="s">
        <v>189</v>
      </c>
      <c r="C150" s="21">
        <v>147</v>
      </c>
      <c r="D150" s="22" t="s">
        <v>233</v>
      </c>
      <c r="E150" s="22"/>
      <c r="F150" s="24" t="s">
        <v>36</v>
      </c>
      <c r="G150" s="25" t="s">
        <v>234</v>
      </c>
      <c r="H150" s="22" t="s">
        <v>38</v>
      </c>
      <c r="I150" s="26">
        <v>3</v>
      </c>
    </row>
    <row r="151" spans="1:9" ht="25.95" hidden="1" customHeight="1" x14ac:dyDescent="0.3">
      <c r="A151" s="35" t="s">
        <v>188</v>
      </c>
      <c r="B151" s="36" t="s">
        <v>189</v>
      </c>
      <c r="C151" s="27">
        <v>148</v>
      </c>
      <c r="D151" s="28" t="s">
        <v>235</v>
      </c>
      <c r="E151" s="28"/>
      <c r="F151" s="24" t="s">
        <v>36</v>
      </c>
      <c r="G151" s="25" t="s">
        <v>236</v>
      </c>
      <c r="H151" s="28" t="s">
        <v>38</v>
      </c>
      <c r="I151" s="26">
        <v>4</v>
      </c>
    </row>
    <row r="152" spans="1:9" ht="25.95" hidden="1" customHeight="1" x14ac:dyDescent="0.3">
      <c r="A152" s="35" t="s">
        <v>188</v>
      </c>
      <c r="B152" s="36" t="s">
        <v>189</v>
      </c>
      <c r="C152" s="21">
        <v>149</v>
      </c>
      <c r="D152" s="22" t="s">
        <v>237</v>
      </c>
      <c r="E152" s="22"/>
      <c r="F152" s="24" t="s">
        <v>36</v>
      </c>
      <c r="G152" s="25" t="s">
        <v>179</v>
      </c>
      <c r="H152" s="22" t="s">
        <v>38</v>
      </c>
      <c r="I152" s="26">
        <v>2</v>
      </c>
    </row>
    <row r="153" spans="1:9" ht="25.95" hidden="1" customHeight="1" x14ac:dyDescent="0.3">
      <c r="A153" s="35" t="s">
        <v>188</v>
      </c>
      <c r="B153" s="36" t="s">
        <v>189</v>
      </c>
      <c r="C153" s="27">
        <v>150</v>
      </c>
      <c r="D153" s="28" t="s">
        <v>238</v>
      </c>
      <c r="E153" s="28"/>
      <c r="F153" s="24" t="s">
        <v>36</v>
      </c>
      <c r="G153" s="25" t="s">
        <v>239</v>
      </c>
      <c r="H153" s="28" t="s">
        <v>38</v>
      </c>
      <c r="I153" s="26">
        <v>2</v>
      </c>
    </row>
    <row r="154" spans="1:9" ht="25.95" hidden="1" customHeight="1" x14ac:dyDescent="0.3">
      <c r="A154" s="35" t="s">
        <v>188</v>
      </c>
      <c r="B154" s="36" t="s">
        <v>189</v>
      </c>
      <c r="C154" s="21">
        <v>151</v>
      </c>
      <c r="D154" s="22" t="s">
        <v>240</v>
      </c>
      <c r="E154" s="22"/>
      <c r="F154" s="24" t="s">
        <v>36</v>
      </c>
      <c r="G154" s="25" t="s">
        <v>61</v>
      </c>
      <c r="H154" s="22" t="s">
        <v>38</v>
      </c>
      <c r="I154" s="26">
        <v>2</v>
      </c>
    </row>
    <row r="155" spans="1:9" ht="25.95" hidden="1" customHeight="1" x14ac:dyDescent="0.3">
      <c r="A155" s="35" t="s">
        <v>188</v>
      </c>
      <c r="B155" s="36" t="s">
        <v>189</v>
      </c>
      <c r="C155" s="27">
        <v>152</v>
      </c>
      <c r="D155" s="28" t="s">
        <v>241</v>
      </c>
      <c r="E155" s="28"/>
      <c r="F155" s="24" t="s">
        <v>36</v>
      </c>
      <c r="G155" s="25" t="s">
        <v>61</v>
      </c>
      <c r="H155" s="28" t="s">
        <v>38</v>
      </c>
      <c r="I155" s="26">
        <v>2</v>
      </c>
    </row>
    <row r="156" spans="1:9" ht="25.95" hidden="1" customHeight="1" x14ac:dyDescent="0.3">
      <c r="A156" s="35" t="s">
        <v>188</v>
      </c>
      <c r="B156" s="36" t="s">
        <v>189</v>
      </c>
      <c r="C156" s="21">
        <v>153</v>
      </c>
      <c r="D156" s="22" t="s">
        <v>242</v>
      </c>
      <c r="E156" s="22"/>
      <c r="F156" s="24" t="s">
        <v>36</v>
      </c>
      <c r="G156" s="25" t="s">
        <v>61</v>
      </c>
      <c r="H156" s="22" t="s">
        <v>38</v>
      </c>
      <c r="I156" s="26">
        <v>2</v>
      </c>
    </row>
    <row r="157" spans="1:9" ht="25.95" hidden="1" customHeight="1" x14ac:dyDescent="0.3">
      <c r="A157" s="35" t="s">
        <v>188</v>
      </c>
      <c r="B157" s="36" t="s">
        <v>189</v>
      </c>
      <c r="C157" s="27">
        <v>154</v>
      </c>
      <c r="D157" s="28" t="s">
        <v>243</v>
      </c>
      <c r="E157" s="28"/>
      <c r="F157" s="24" t="s">
        <v>36</v>
      </c>
      <c r="G157" s="25" t="s">
        <v>61</v>
      </c>
      <c r="H157" s="28" t="s">
        <v>38</v>
      </c>
      <c r="I157" s="26">
        <v>2</v>
      </c>
    </row>
    <row r="158" spans="1:9" ht="25.95" hidden="1" customHeight="1" x14ac:dyDescent="0.3">
      <c r="A158" s="35" t="s">
        <v>188</v>
      </c>
      <c r="B158" s="36" t="s">
        <v>189</v>
      </c>
      <c r="C158" s="21">
        <v>155</v>
      </c>
      <c r="D158" s="22" t="s">
        <v>244</v>
      </c>
      <c r="E158" s="22"/>
      <c r="F158" s="24" t="s">
        <v>36</v>
      </c>
      <c r="G158" s="25" t="s">
        <v>245</v>
      </c>
      <c r="H158" s="22" t="s">
        <v>38</v>
      </c>
      <c r="I158" s="26">
        <v>3</v>
      </c>
    </row>
    <row r="159" spans="1:9" ht="25.95" hidden="1" customHeight="1" x14ac:dyDescent="0.3">
      <c r="A159" s="35" t="s">
        <v>188</v>
      </c>
      <c r="B159" s="36" t="s">
        <v>189</v>
      </c>
      <c r="C159" s="27">
        <v>156</v>
      </c>
      <c r="D159" s="28" t="s">
        <v>246</v>
      </c>
      <c r="E159" s="28"/>
      <c r="F159" s="24" t="s">
        <v>36</v>
      </c>
      <c r="G159" s="25" t="s">
        <v>247</v>
      </c>
      <c r="H159" s="28" t="s">
        <v>38</v>
      </c>
      <c r="I159" s="26">
        <v>4</v>
      </c>
    </row>
    <row r="160" spans="1:9" ht="25.95" hidden="1" customHeight="1" x14ac:dyDescent="0.3">
      <c r="A160" s="35" t="s">
        <v>188</v>
      </c>
      <c r="B160" s="36" t="s">
        <v>189</v>
      </c>
      <c r="C160" s="21">
        <v>157</v>
      </c>
      <c r="D160" s="22" t="s">
        <v>248</v>
      </c>
      <c r="E160" s="22"/>
      <c r="F160" s="24" t="s">
        <v>36</v>
      </c>
      <c r="G160" s="25" t="s">
        <v>61</v>
      </c>
      <c r="H160" s="22" t="s">
        <v>38</v>
      </c>
      <c r="I160" s="26">
        <v>2</v>
      </c>
    </row>
    <row r="161" spans="1:9" ht="25.95" hidden="1" customHeight="1" x14ac:dyDescent="0.3">
      <c r="A161" s="35" t="s">
        <v>188</v>
      </c>
      <c r="B161" s="36" t="s">
        <v>189</v>
      </c>
      <c r="C161" s="27">
        <v>158</v>
      </c>
      <c r="D161" s="28" t="s">
        <v>249</v>
      </c>
      <c r="E161" s="28"/>
      <c r="F161" s="24" t="s">
        <v>36</v>
      </c>
      <c r="G161" s="25" t="s">
        <v>182</v>
      </c>
      <c r="H161" s="28" t="s">
        <v>38</v>
      </c>
      <c r="I161" s="26">
        <v>3</v>
      </c>
    </row>
    <row r="162" spans="1:9" ht="25.95" hidden="1" customHeight="1" x14ac:dyDescent="0.3">
      <c r="A162" s="35" t="s">
        <v>188</v>
      </c>
      <c r="B162" s="36" t="s">
        <v>189</v>
      </c>
      <c r="C162" s="21">
        <v>159</v>
      </c>
      <c r="D162" s="22" t="s">
        <v>250</v>
      </c>
      <c r="E162" s="22"/>
      <c r="F162" s="24" t="s">
        <v>36</v>
      </c>
      <c r="G162" s="25" t="s">
        <v>55</v>
      </c>
      <c r="H162" s="22" t="s">
        <v>38</v>
      </c>
      <c r="I162" s="26">
        <v>6</v>
      </c>
    </row>
    <row r="163" spans="1:9" ht="25.95" hidden="1" customHeight="1" x14ac:dyDescent="0.3">
      <c r="A163" s="35" t="s">
        <v>188</v>
      </c>
      <c r="B163" s="36" t="s">
        <v>189</v>
      </c>
      <c r="C163" s="27">
        <v>160</v>
      </c>
      <c r="D163" s="28" t="s">
        <v>251</v>
      </c>
      <c r="E163" s="28"/>
      <c r="F163" s="24" t="s">
        <v>36</v>
      </c>
      <c r="G163" s="25" t="s">
        <v>252</v>
      </c>
      <c r="H163" s="28" t="s">
        <v>38</v>
      </c>
      <c r="I163" s="26">
        <v>4</v>
      </c>
    </row>
    <row r="164" spans="1:9" ht="25.95" hidden="1" customHeight="1" x14ac:dyDescent="0.3">
      <c r="A164" s="35" t="s">
        <v>188</v>
      </c>
      <c r="B164" s="36" t="s">
        <v>189</v>
      </c>
      <c r="C164" s="21">
        <v>161</v>
      </c>
      <c r="D164" s="22" t="s">
        <v>253</v>
      </c>
      <c r="E164" s="22"/>
      <c r="F164" s="24" t="s">
        <v>36</v>
      </c>
      <c r="G164" s="25" t="s">
        <v>79</v>
      </c>
      <c r="H164" s="22" t="s">
        <v>38</v>
      </c>
      <c r="I164" s="26">
        <v>2</v>
      </c>
    </row>
    <row r="165" spans="1:9" ht="25.95" hidden="1" customHeight="1" x14ac:dyDescent="0.3">
      <c r="A165" s="37" t="s">
        <v>254</v>
      </c>
      <c r="B165" s="38" t="s">
        <v>255</v>
      </c>
      <c r="C165" s="27">
        <v>162</v>
      </c>
      <c r="D165" s="28" t="s">
        <v>256</v>
      </c>
      <c r="E165" s="28"/>
      <c r="F165" s="24" t="s">
        <v>36</v>
      </c>
      <c r="G165" s="25" t="s">
        <v>45</v>
      </c>
      <c r="H165" s="28" t="s">
        <v>38</v>
      </c>
      <c r="I165" s="26">
        <v>1</v>
      </c>
    </row>
    <row r="166" spans="1:9" ht="25.95" hidden="1" customHeight="1" x14ac:dyDescent="0.3">
      <c r="A166" s="37" t="s">
        <v>254</v>
      </c>
      <c r="B166" s="38" t="s">
        <v>255</v>
      </c>
      <c r="C166" s="21">
        <v>163</v>
      </c>
      <c r="D166" s="22" t="s">
        <v>257</v>
      </c>
      <c r="E166" s="22"/>
      <c r="F166" s="24" t="s">
        <v>36</v>
      </c>
      <c r="G166" s="25" t="s">
        <v>258</v>
      </c>
      <c r="H166" s="22" t="s">
        <v>38</v>
      </c>
      <c r="I166" s="26">
        <v>1</v>
      </c>
    </row>
    <row r="167" spans="1:9" ht="25.95" hidden="1" customHeight="1" x14ac:dyDescent="0.3">
      <c r="A167" s="37" t="s">
        <v>254</v>
      </c>
      <c r="B167" s="38" t="s">
        <v>255</v>
      </c>
      <c r="C167" s="27">
        <v>164</v>
      </c>
      <c r="D167" s="28" t="s">
        <v>259</v>
      </c>
      <c r="E167" s="28"/>
      <c r="F167" s="24" t="s">
        <v>36</v>
      </c>
      <c r="G167" s="25" t="s">
        <v>177</v>
      </c>
      <c r="H167" s="28" t="s">
        <v>38</v>
      </c>
      <c r="I167" s="26">
        <v>1</v>
      </c>
    </row>
    <row r="168" spans="1:9" ht="25.95" hidden="1" customHeight="1" x14ac:dyDescent="0.3">
      <c r="A168" s="37" t="s">
        <v>254</v>
      </c>
      <c r="B168" s="38" t="s">
        <v>255</v>
      </c>
      <c r="C168" s="21">
        <v>165</v>
      </c>
      <c r="D168" s="22" t="s">
        <v>260</v>
      </c>
      <c r="E168" s="22"/>
      <c r="F168" s="24" t="s">
        <v>36</v>
      </c>
      <c r="G168" s="25" t="s">
        <v>167</v>
      </c>
      <c r="H168" s="22" t="s">
        <v>38</v>
      </c>
      <c r="I168" s="26">
        <v>1</v>
      </c>
    </row>
    <row r="169" spans="1:9" ht="25.95" hidden="1" customHeight="1" x14ac:dyDescent="0.3">
      <c r="A169" s="37" t="s">
        <v>254</v>
      </c>
      <c r="B169" s="38" t="s">
        <v>255</v>
      </c>
      <c r="C169" s="27">
        <v>166</v>
      </c>
      <c r="D169" s="28" t="s">
        <v>261</v>
      </c>
      <c r="E169" s="28"/>
      <c r="F169" s="24" t="s">
        <v>36</v>
      </c>
      <c r="G169" s="25" t="s">
        <v>45</v>
      </c>
      <c r="H169" s="28" t="s">
        <v>38</v>
      </c>
      <c r="I169" s="26">
        <v>1</v>
      </c>
    </row>
    <row r="170" spans="1:9" ht="25.95" hidden="1" customHeight="1" x14ac:dyDescent="0.3">
      <c r="A170" s="37" t="s">
        <v>254</v>
      </c>
      <c r="B170" s="38" t="s">
        <v>255</v>
      </c>
      <c r="C170" s="21">
        <v>167</v>
      </c>
      <c r="D170" s="22" t="s">
        <v>262</v>
      </c>
      <c r="E170" s="22"/>
      <c r="F170" s="24" t="s">
        <v>36</v>
      </c>
      <c r="G170" s="25" t="s">
        <v>263</v>
      </c>
      <c r="H170" s="22" t="s">
        <v>38</v>
      </c>
      <c r="I170" s="26">
        <v>1</v>
      </c>
    </row>
    <row r="171" spans="1:9" ht="25.95" hidden="1" customHeight="1" x14ac:dyDescent="0.3">
      <c r="A171" s="37" t="s">
        <v>254</v>
      </c>
      <c r="B171" s="38" t="s">
        <v>255</v>
      </c>
      <c r="C171" s="27">
        <v>168</v>
      </c>
      <c r="D171" s="28" t="s">
        <v>264</v>
      </c>
      <c r="E171" s="28"/>
      <c r="F171" s="24" t="s">
        <v>36</v>
      </c>
      <c r="G171" s="25" t="s">
        <v>45</v>
      </c>
      <c r="H171" s="28" t="s">
        <v>38</v>
      </c>
      <c r="I171" s="26">
        <v>1</v>
      </c>
    </row>
    <row r="172" spans="1:9" ht="25.95" hidden="1" customHeight="1" x14ac:dyDescent="0.3">
      <c r="A172" s="37" t="s">
        <v>254</v>
      </c>
      <c r="B172" s="38" t="s">
        <v>255</v>
      </c>
      <c r="C172" s="21">
        <v>169</v>
      </c>
      <c r="D172" s="22" t="s">
        <v>265</v>
      </c>
      <c r="E172" s="22"/>
      <c r="F172" s="24" t="s">
        <v>36</v>
      </c>
      <c r="G172" s="25" t="s">
        <v>45</v>
      </c>
      <c r="H172" s="22" t="s">
        <v>38</v>
      </c>
      <c r="I172" s="26">
        <v>1</v>
      </c>
    </row>
    <row r="173" spans="1:9" ht="25.95" hidden="1" customHeight="1" x14ac:dyDescent="0.3">
      <c r="A173" s="37" t="s">
        <v>254</v>
      </c>
      <c r="B173" s="38" t="s">
        <v>255</v>
      </c>
      <c r="C173" s="27">
        <v>170</v>
      </c>
      <c r="D173" s="28" t="s">
        <v>266</v>
      </c>
      <c r="E173" s="28"/>
      <c r="F173" s="24" t="s">
        <v>36</v>
      </c>
      <c r="G173" s="25" t="s">
        <v>177</v>
      </c>
      <c r="H173" s="28" t="s">
        <v>38</v>
      </c>
      <c r="I173" s="26">
        <v>1</v>
      </c>
    </row>
    <row r="174" spans="1:9" ht="25.95" hidden="1" customHeight="1" x14ac:dyDescent="0.3">
      <c r="A174" s="37" t="s">
        <v>254</v>
      </c>
      <c r="B174" s="38" t="s">
        <v>255</v>
      </c>
      <c r="C174" s="21">
        <v>171</v>
      </c>
      <c r="D174" s="22" t="s">
        <v>267</v>
      </c>
      <c r="E174" s="22"/>
      <c r="F174" s="24" t="s">
        <v>36</v>
      </c>
      <c r="G174" s="25" t="s">
        <v>177</v>
      </c>
      <c r="H174" s="22" t="s">
        <v>38</v>
      </c>
      <c r="I174" s="26">
        <v>1</v>
      </c>
    </row>
    <row r="175" spans="1:9" ht="25.95" hidden="1" customHeight="1" x14ac:dyDescent="0.3">
      <c r="A175" s="37" t="s">
        <v>254</v>
      </c>
      <c r="B175" s="38" t="s">
        <v>255</v>
      </c>
      <c r="C175" s="27">
        <v>172</v>
      </c>
      <c r="D175" s="28" t="s">
        <v>268</v>
      </c>
      <c r="E175" s="28"/>
      <c r="F175" s="24" t="s">
        <v>36</v>
      </c>
      <c r="G175" s="25" t="s">
        <v>45</v>
      </c>
      <c r="H175" s="28" t="s">
        <v>38</v>
      </c>
      <c r="I175" s="26">
        <v>1</v>
      </c>
    </row>
    <row r="176" spans="1:9" ht="25.95" hidden="1" customHeight="1" x14ac:dyDescent="0.3">
      <c r="A176" s="37" t="s">
        <v>254</v>
      </c>
      <c r="B176" s="38" t="s">
        <v>255</v>
      </c>
      <c r="C176" s="21">
        <v>173</v>
      </c>
      <c r="D176" s="22" t="s">
        <v>269</v>
      </c>
      <c r="E176" s="22"/>
      <c r="F176" s="24" t="s">
        <v>36</v>
      </c>
      <c r="G176" s="25" t="s">
        <v>270</v>
      </c>
      <c r="H176" s="22" t="s">
        <v>38</v>
      </c>
      <c r="I176" s="26">
        <v>1</v>
      </c>
    </row>
    <row r="177" spans="1:9" ht="25.95" hidden="1" customHeight="1" x14ac:dyDescent="0.3">
      <c r="A177" s="37" t="s">
        <v>254</v>
      </c>
      <c r="B177" s="38" t="s">
        <v>255</v>
      </c>
      <c r="C177" s="27">
        <v>174</v>
      </c>
      <c r="D177" s="28" t="s">
        <v>271</v>
      </c>
      <c r="E177" s="28"/>
      <c r="F177" s="24" t="s">
        <v>36</v>
      </c>
      <c r="G177" s="25" t="s">
        <v>45</v>
      </c>
      <c r="H177" s="28" t="s">
        <v>38</v>
      </c>
      <c r="I177" s="26">
        <v>1</v>
      </c>
    </row>
    <row r="178" spans="1:9" ht="25.95" hidden="1" customHeight="1" x14ac:dyDescent="0.3">
      <c r="A178" s="37" t="s">
        <v>254</v>
      </c>
      <c r="B178" s="38" t="s">
        <v>255</v>
      </c>
      <c r="C178" s="21">
        <v>175</v>
      </c>
      <c r="D178" s="22" t="s">
        <v>272</v>
      </c>
      <c r="E178" s="22"/>
      <c r="F178" s="24" t="s">
        <v>36</v>
      </c>
      <c r="G178" s="25" t="s">
        <v>45</v>
      </c>
      <c r="H178" s="22" t="s">
        <v>38</v>
      </c>
      <c r="I178" s="26">
        <v>1</v>
      </c>
    </row>
    <row r="179" spans="1:9" ht="25.95" hidden="1" customHeight="1" x14ac:dyDescent="0.3">
      <c r="A179" s="37" t="s">
        <v>254</v>
      </c>
      <c r="B179" s="38" t="s">
        <v>255</v>
      </c>
      <c r="C179" s="27">
        <v>176</v>
      </c>
      <c r="D179" s="28" t="s">
        <v>273</v>
      </c>
      <c r="E179" s="28"/>
      <c r="F179" s="24" t="s">
        <v>36</v>
      </c>
      <c r="G179" s="25" t="s">
        <v>45</v>
      </c>
      <c r="H179" s="28" t="s">
        <v>38</v>
      </c>
      <c r="I179" s="26">
        <v>1</v>
      </c>
    </row>
    <row r="180" spans="1:9" ht="25.95" hidden="1" customHeight="1" x14ac:dyDescent="0.3">
      <c r="A180" s="37" t="s">
        <v>254</v>
      </c>
      <c r="B180" s="38" t="s">
        <v>255</v>
      </c>
      <c r="C180" s="21">
        <v>177</v>
      </c>
      <c r="D180" s="22" t="s">
        <v>274</v>
      </c>
      <c r="E180" s="22"/>
      <c r="F180" s="24" t="s">
        <v>36</v>
      </c>
      <c r="G180" s="25" t="s">
        <v>81</v>
      </c>
      <c r="H180" s="22" t="s">
        <v>38</v>
      </c>
      <c r="I180" s="26">
        <v>1</v>
      </c>
    </row>
    <row r="181" spans="1:9" ht="25.95" hidden="1" customHeight="1" x14ac:dyDescent="0.3">
      <c r="A181" s="37" t="s">
        <v>254</v>
      </c>
      <c r="B181" s="38" t="s">
        <v>255</v>
      </c>
      <c r="C181" s="27">
        <v>178</v>
      </c>
      <c r="D181" s="28" t="s">
        <v>275</v>
      </c>
      <c r="E181" s="28"/>
      <c r="F181" s="24" t="s">
        <v>36</v>
      </c>
      <c r="G181" s="25" t="s">
        <v>45</v>
      </c>
      <c r="H181" s="28" t="s">
        <v>38</v>
      </c>
      <c r="I181" s="26">
        <v>1</v>
      </c>
    </row>
    <row r="182" spans="1:9" ht="25.95" customHeight="1" x14ac:dyDescent="0.3">
      <c r="A182" s="37" t="s">
        <v>254</v>
      </c>
      <c r="B182" s="38" t="s">
        <v>255</v>
      </c>
      <c r="C182" s="21">
        <v>179</v>
      </c>
      <c r="D182" s="22" t="s">
        <v>276</v>
      </c>
      <c r="E182" s="22"/>
      <c r="F182" s="24" t="s">
        <v>36</v>
      </c>
      <c r="G182" s="25" t="s">
        <v>79</v>
      </c>
      <c r="H182" s="22" t="s">
        <v>38</v>
      </c>
      <c r="I182" s="26">
        <v>1</v>
      </c>
    </row>
    <row r="183" spans="1:9" ht="25.95" hidden="1" customHeight="1" x14ac:dyDescent="0.3">
      <c r="A183" s="37" t="s">
        <v>254</v>
      </c>
      <c r="B183" s="38" t="s">
        <v>255</v>
      </c>
      <c r="C183" s="27">
        <v>180</v>
      </c>
      <c r="D183" s="28" t="s">
        <v>277</v>
      </c>
      <c r="E183" s="28"/>
      <c r="F183" s="24" t="s">
        <v>36</v>
      </c>
      <c r="G183" s="25" t="s">
        <v>81</v>
      </c>
      <c r="H183" s="28" t="s">
        <v>38</v>
      </c>
      <c r="I183" s="26">
        <v>1</v>
      </c>
    </row>
    <row r="184" spans="1:9" ht="25.95" hidden="1" customHeight="1" x14ac:dyDescent="0.3">
      <c r="A184" s="37" t="s">
        <v>254</v>
      </c>
      <c r="B184" s="38" t="s">
        <v>255</v>
      </c>
      <c r="C184" s="21">
        <v>181</v>
      </c>
      <c r="D184" s="22" t="s">
        <v>278</v>
      </c>
      <c r="E184" s="22"/>
      <c r="F184" s="24" t="s">
        <v>36</v>
      </c>
      <c r="G184" s="25" t="s">
        <v>270</v>
      </c>
      <c r="H184" s="22" t="s">
        <v>38</v>
      </c>
      <c r="I184" s="26">
        <v>1</v>
      </c>
    </row>
    <row r="185" spans="1:9" ht="25.95" hidden="1" customHeight="1" x14ac:dyDescent="0.3">
      <c r="A185" s="37" t="s">
        <v>254</v>
      </c>
      <c r="B185" s="38" t="s">
        <v>255</v>
      </c>
      <c r="C185" s="27">
        <v>182</v>
      </c>
      <c r="D185" s="28" t="s">
        <v>279</v>
      </c>
      <c r="E185" s="28"/>
      <c r="F185" s="24" t="s">
        <v>36</v>
      </c>
      <c r="G185" s="25" t="s">
        <v>45</v>
      </c>
      <c r="H185" s="28" t="s">
        <v>38</v>
      </c>
      <c r="I185" s="26">
        <v>1</v>
      </c>
    </row>
    <row r="186" spans="1:9" ht="25.95" hidden="1" customHeight="1" x14ac:dyDescent="0.3">
      <c r="A186" s="37" t="s">
        <v>254</v>
      </c>
      <c r="B186" s="38" t="s">
        <v>255</v>
      </c>
      <c r="C186" s="21">
        <v>183</v>
      </c>
      <c r="D186" s="22" t="s">
        <v>280</v>
      </c>
      <c r="E186" s="22"/>
      <c r="F186" s="24" t="s">
        <v>36</v>
      </c>
      <c r="G186" s="25" t="s">
        <v>41</v>
      </c>
      <c r="H186" s="22" t="s">
        <v>38</v>
      </c>
      <c r="I186" s="26">
        <v>1</v>
      </c>
    </row>
    <row r="187" spans="1:9" ht="25.95" hidden="1" customHeight="1" x14ac:dyDescent="0.3">
      <c r="A187" s="37" t="s">
        <v>254</v>
      </c>
      <c r="B187" s="38" t="s">
        <v>255</v>
      </c>
      <c r="C187" s="27">
        <v>184</v>
      </c>
      <c r="D187" s="28" t="s">
        <v>281</v>
      </c>
      <c r="E187" s="28"/>
      <c r="F187" s="24" t="s">
        <v>36</v>
      </c>
      <c r="G187" s="25" t="s">
        <v>45</v>
      </c>
      <c r="H187" s="28" t="s">
        <v>38</v>
      </c>
      <c r="I187" s="26">
        <v>1</v>
      </c>
    </row>
    <row r="188" spans="1:9" ht="25.95" hidden="1" customHeight="1" x14ac:dyDescent="0.3">
      <c r="A188" s="37" t="s">
        <v>254</v>
      </c>
      <c r="B188" s="38" t="s">
        <v>255</v>
      </c>
      <c r="C188" s="21">
        <v>185</v>
      </c>
      <c r="D188" s="22" t="s">
        <v>282</v>
      </c>
      <c r="E188" s="22"/>
      <c r="F188" s="24" t="s">
        <v>36</v>
      </c>
      <c r="G188" s="25" t="s">
        <v>263</v>
      </c>
      <c r="H188" s="22" t="s">
        <v>38</v>
      </c>
      <c r="I188" s="26">
        <v>1</v>
      </c>
    </row>
    <row r="189" spans="1:9" ht="25.95" hidden="1" customHeight="1" x14ac:dyDescent="0.3">
      <c r="A189" s="37" t="s">
        <v>254</v>
      </c>
      <c r="B189" s="38" t="s">
        <v>255</v>
      </c>
      <c r="C189" s="27">
        <v>186</v>
      </c>
      <c r="D189" s="28" t="s">
        <v>283</v>
      </c>
      <c r="E189" s="28"/>
      <c r="F189" s="24" t="s">
        <v>36</v>
      </c>
      <c r="G189" s="25" t="s">
        <v>177</v>
      </c>
      <c r="H189" s="28" t="s">
        <v>38</v>
      </c>
      <c r="I189" s="26">
        <v>1</v>
      </c>
    </row>
    <row r="190" spans="1:9" ht="25.95" hidden="1" customHeight="1" x14ac:dyDescent="0.3">
      <c r="A190" s="37" t="s">
        <v>254</v>
      </c>
      <c r="B190" s="38" t="s">
        <v>255</v>
      </c>
      <c r="C190" s="21">
        <v>187</v>
      </c>
      <c r="D190" s="22" t="s">
        <v>284</v>
      </c>
      <c r="E190" s="22"/>
      <c r="F190" s="24" t="s">
        <v>36</v>
      </c>
      <c r="G190" s="25" t="s">
        <v>45</v>
      </c>
      <c r="H190" s="22" t="s">
        <v>38</v>
      </c>
      <c r="I190" s="26">
        <v>1</v>
      </c>
    </row>
    <row r="191" spans="1:9" ht="25.95" hidden="1" customHeight="1" x14ac:dyDescent="0.3">
      <c r="A191" s="37" t="s">
        <v>254</v>
      </c>
      <c r="B191" s="38" t="s">
        <v>255</v>
      </c>
      <c r="C191" s="27">
        <v>188</v>
      </c>
      <c r="D191" s="28" t="s">
        <v>285</v>
      </c>
      <c r="E191" s="28"/>
      <c r="F191" s="24" t="s">
        <v>36</v>
      </c>
      <c r="G191" s="25" t="s">
        <v>45</v>
      </c>
      <c r="H191" s="28" t="s">
        <v>38</v>
      </c>
      <c r="I191" s="26">
        <v>1</v>
      </c>
    </row>
    <row r="192" spans="1:9" ht="25.95" hidden="1" customHeight="1" x14ac:dyDescent="0.3">
      <c r="A192" s="37" t="s">
        <v>254</v>
      </c>
      <c r="B192" s="38" t="s">
        <v>255</v>
      </c>
      <c r="C192" s="21">
        <v>189</v>
      </c>
      <c r="D192" s="22" t="s">
        <v>286</v>
      </c>
      <c r="E192" s="22"/>
      <c r="F192" s="24" t="s">
        <v>36</v>
      </c>
      <c r="G192" s="25" t="s">
        <v>45</v>
      </c>
      <c r="H192" s="22" t="s">
        <v>38</v>
      </c>
      <c r="I192" s="26">
        <v>1</v>
      </c>
    </row>
    <row r="193" spans="1:9" ht="25.95" hidden="1" customHeight="1" x14ac:dyDescent="0.3">
      <c r="A193" s="37" t="s">
        <v>254</v>
      </c>
      <c r="B193" s="38" t="s">
        <v>255</v>
      </c>
      <c r="C193" s="27">
        <v>190</v>
      </c>
      <c r="D193" s="28" t="s">
        <v>287</v>
      </c>
      <c r="E193" s="28"/>
      <c r="F193" s="24" t="s">
        <v>36</v>
      </c>
      <c r="G193" s="25" t="s">
        <v>45</v>
      </c>
      <c r="H193" s="28" t="s">
        <v>38</v>
      </c>
      <c r="I193" s="26">
        <v>1</v>
      </c>
    </row>
    <row r="194" spans="1:9" ht="25.95" hidden="1" customHeight="1" x14ac:dyDescent="0.3">
      <c r="A194" s="37" t="s">
        <v>254</v>
      </c>
      <c r="B194" s="38" t="s">
        <v>255</v>
      </c>
      <c r="C194" s="21">
        <v>191</v>
      </c>
      <c r="D194" s="22" t="s">
        <v>288</v>
      </c>
      <c r="E194" s="22"/>
      <c r="F194" s="24" t="s">
        <v>36</v>
      </c>
      <c r="G194" s="25" t="s">
        <v>45</v>
      </c>
      <c r="H194" s="22" t="s">
        <v>38</v>
      </c>
      <c r="I194" s="26">
        <v>1</v>
      </c>
    </row>
    <row r="195" spans="1:9" ht="25.95" hidden="1" customHeight="1" x14ac:dyDescent="0.3">
      <c r="A195" s="37" t="s">
        <v>254</v>
      </c>
      <c r="B195" s="38" t="s">
        <v>255</v>
      </c>
      <c r="C195" s="27">
        <v>192</v>
      </c>
      <c r="D195" s="28" t="s">
        <v>289</v>
      </c>
      <c r="E195" s="28"/>
      <c r="F195" s="24" t="s">
        <v>36</v>
      </c>
      <c r="G195" s="25" t="s">
        <v>45</v>
      </c>
      <c r="H195" s="28" t="s">
        <v>38</v>
      </c>
      <c r="I195" s="26">
        <v>1</v>
      </c>
    </row>
    <row r="196" spans="1:9" ht="25.95" hidden="1" customHeight="1" x14ac:dyDescent="0.3">
      <c r="A196" s="37" t="s">
        <v>254</v>
      </c>
      <c r="B196" s="38" t="s">
        <v>255</v>
      </c>
      <c r="C196" s="21">
        <v>193</v>
      </c>
      <c r="D196" s="22" t="s">
        <v>290</v>
      </c>
      <c r="E196" s="22"/>
      <c r="F196" s="24" t="s">
        <v>36</v>
      </c>
      <c r="G196" s="25" t="s">
        <v>45</v>
      </c>
      <c r="H196" s="22" t="s">
        <v>38</v>
      </c>
      <c r="I196" s="26">
        <v>1</v>
      </c>
    </row>
    <row r="197" spans="1:9" ht="25.95" hidden="1" customHeight="1" x14ac:dyDescent="0.3">
      <c r="A197" s="37" t="s">
        <v>254</v>
      </c>
      <c r="B197" s="38" t="s">
        <v>255</v>
      </c>
      <c r="C197" s="27">
        <v>194</v>
      </c>
      <c r="D197" s="28" t="s">
        <v>291</v>
      </c>
      <c r="E197" s="28"/>
      <c r="F197" s="24" t="s">
        <v>36</v>
      </c>
      <c r="G197" s="25" t="s">
        <v>177</v>
      </c>
      <c r="H197" s="28" t="s">
        <v>38</v>
      </c>
      <c r="I197" s="26">
        <v>1</v>
      </c>
    </row>
    <row r="198" spans="1:9" ht="25.95" hidden="1" customHeight="1" x14ac:dyDescent="0.3">
      <c r="A198" s="37" t="s">
        <v>254</v>
      </c>
      <c r="B198" s="38" t="s">
        <v>255</v>
      </c>
      <c r="C198" s="21">
        <v>195</v>
      </c>
      <c r="D198" s="22" t="s">
        <v>292</v>
      </c>
      <c r="E198" s="22"/>
      <c r="F198" s="24" t="s">
        <v>36</v>
      </c>
      <c r="G198" s="25" t="s">
        <v>81</v>
      </c>
      <c r="H198" s="22" t="s">
        <v>38</v>
      </c>
      <c r="I198" s="26">
        <v>1</v>
      </c>
    </row>
    <row r="199" spans="1:9" ht="25.95" hidden="1" customHeight="1" x14ac:dyDescent="0.3">
      <c r="A199" s="37" t="s">
        <v>254</v>
      </c>
      <c r="B199" s="38" t="s">
        <v>255</v>
      </c>
      <c r="C199" s="27">
        <v>196</v>
      </c>
      <c r="D199" s="28" t="s">
        <v>293</v>
      </c>
      <c r="E199" s="28"/>
      <c r="F199" s="24" t="s">
        <v>36</v>
      </c>
      <c r="G199" s="25" t="s">
        <v>45</v>
      </c>
      <c r="H199" s="28" t="s">
        <v>38</v>
      </c>
      <c r="I199" s="26">
        <v>1</v>
      </c>
    </row>
    <row r="200" spans="1:9" ht="25.95" hidden="1" customHeight="1" x14ac:dyDescent="0.3">
      <c r="A200" s="37" t="s">
        <v>254</v>
      </c>
      <c r="B200" s="38" t="s">
        <v>255</v>
      </c>
      <c r="C200" s="21">
        <v>197</v>
      </c>
      <c r="D200" s="22" t="s">
        <v>294</v>
      </c>
      <c r="E200" s="22"/>
      <c r="F200" s="24" t="s">
        <v>36</v>
      </c>
      <c r="G200" s="25" t="s">
        <v>270</v>
      </c>
      <c r="H200" s="22" t="s">
        <v>38</v>
      </c>
      <c r="I200" s="26">
        <v>1</v>
      </c>
    </row>
    <row r="201" spans="1:9" ht="25.95" hidden="1" customHeight="1" x14ac:dyDescent="0.3">
      <c r="A201" s="37" t="s">
        <v>254</v>
      </c>
      <c r="B201" s="38" t="s">
        <v>255</v>
      </c>
      <c r="C201" s="27">
        <v>198</v>
      </c>
      <c r="D201" s="28" t="s">
        <v>295</v>
      </c>
      <c r="E201" s="28"/>
      <c r="F201" s="24" t="s">
        <v>36</v>
      </c>
      <c r="G201" s="25" t="s">
        <v>45</v>
      </c>
      <c r="H201" s="28" t="s">
        <v>38</v>
      </c>
      <c r="I201" s="26">
        <v>1</v>
      </c>
    </row>
    <row r="202" spans="1:9" ht="25.95" hidden="1" customHeight="1" x14ac:dyDescent="0.3">
      <c r="A202" s="37" t="s">
        <v>254</v>
      </c>
      <c r="B202" s="38" t="s">
        <v>255</v>
      </c>
      <c r="C202" s="21">
        <v>199</v>
      </c>
      <c r="D202" s="22" t="s">
        <v>296</v>
      </c>
      <c r="E202" s="22"/>
      <c r="F202" s="24" t="s">
        <v>36</v>
      </c>
      <c r="G202" s="25" t="s">
        <v>45</v>
      </c>
      <c r="H202" s="22" t="s">
        <v>38</v>
      </c>
      <c r="I202" s="26">
        <v>1</v>
      </c>
    </row>
    <row r="203" spans="1:9" ht="25.95" hidden="1" customHeight="1" x14ac:dyDescent="0.3">
      <c r="A203" s="37" t="s">
        <v>254</v>
      </c>
      <c r="B203" s="38" t="s">
        <v>255</v>
      </c>
      <c r="C203" s="27">
        <v>200</v>
      </c>
      <c r="D203" s="28" t="s">
        <v>297</v>
      </c>
      <c r="E203" s="28"/>
      <c r="F203" s="24" t="s">
        <v>36</v>
      </c>
      <c r="G203" s="25" t="s">
        <v>45</v>
      </c>
      <c r="H203" s="28" t="s">
        <v>38</v>
      </c>
      <c r="I203" s="26">
        <v>1</v>
      </c>
    </row>
    <row r="204" spans="1:9" ht="25.95" hidden="1" customHeight="1" x14ac:dyDescent="0.3">
      <c r="A204" s="37" t="s">
        <v>254</v>
      </c>
      <c r="B204" s="38" t="s">
        <v>255</v>
      </c>
      <c r="C204" s="21">
        <v>201</v>
      </c>
      <c r="D204" s="22" t="s">
        <v>298</v>
      </c>
      <c r="E204" s="22"/>
      <c r="F204" s="24" t="s">
        <v>36</v>
      </c>
      <c r="G204" s="25" t="s">
        <v>167</v>
      </c>
      <c r="H204" s="22" t="s">
        <v>38</v>
      </c>
      <c r="I204" s="26">
        <v>1</v>
      </c>
    </row>
    <row r="205" spans="1:9" ht="25.95" hidden="1" customHeight="1" x14ac:dyDescent="0.3">
      <c r="A205" s="37" t="s">
        <v>254</v>
      </c>
      <c r="B205" s="38" t="s">
        <v>255</v>
      </c>
      <c r="C205" s="27">
        <v>202</v>
      </c>
      <c r="D205" s="28" t="s">
        <v>299</v>
      </c>
      <c r="E205" s="28"/>
      <c r="F205" s="24" t="s">
        <v>36</v>
      </c>
      <c r="G205" s="25" t="s">
        <v>177</v>
      </c>
      <c r="H205" s="28" t="s">
        <v>38</v>
      </c>
      <c r="I205" s="26">
        <v>1</v>
      </c>
    </row>
    <row r="206" spans="1:9" ht="25.95" hidden="1" customHeight="1" x14ac:dyDescent="0.3">
      <c r="A206" s="37" t="s">
        <v>254</v>
      </c>
      <c r="B206" s="38" t="s">
        <v>255</v>
      </c>
      <c r="C206" s="21">
        <v>203</v>
      </c>
      <c r="D206" s="22" t="s">
        <v>300</v>
      </c>
      <c r="E206" s="22"/>
      <c r="F206" s="24" t="s">
        <v>36</v>
      </c>
      <c r="G206" s="25" t="s">
        <v>177</v>
      </c>
      <c r="H206" s="22" t="s">
        <v>38</v>
      </c>
      <c r="I206" s="26">
        <v>1</v>
      </c>
    </row>
    <row r="207" spans="1:9" ht="25.95" hidden="1" customHeight="1" x14ac:dyDescent="0.3">
      <c r="A207" s="37" t="s">
        <v>254</v>
      </c>
      <c r="B207" s="38" t="s">
        <v>255</v>
      </c>
      <c r="C207" s="27">
        <v>204</v>
      </c>
      <c r="D207" s="28" t="s">
        <v>301</v>
      </c>
      <c r="E207" s="28"/>
      <c r="F207" s="24" t="s">
        <v>36</v>
      </c>
      <c r="G207" s="25" t="s">
        <v>45</v>
      </c>
      <c r="H207" s="28" t="s">
        <v>38</v>
      </c>
      <c r="I207" s="26">
        <v>1</v>
      </c>
    </row>
    <row r="208" spans="1:9" ht="25.95" hidden="1" customHeight="1" x14ac:dyDescent="0.3">
      <c r="A208" s="37" t="s">
        <v>254</v>
      </c>
      <c r="B208" s="38" t="s">
        <v>255</v>
      </c>
      <c r="C208" s="21">
        <v>205</v>
      </c>
      <c r="D208" s="22" t="s">
        <v>302</v>
      </c>
      <c r="E208" s="22"/>
      <c r="F208" s="24" t="s">
        <v>36</v>
      </c>
      <c r="G208" s="25" t="s">
        <v>45</v>
      </c>
      <c r="H208" s="22" t="s">
        <v>38</v>
      </c>
      <c r="I208" s="26">
        <v>1</v>
      </c>
    </row>
    <row r="209" spans="1:9" ht="25.95" hidden="1" customHeight="1" x14ac:dyDescent="0.3">
      <c r="A209" s="37" t="s">
        <v>254</v>
      </c>
      <c r="B209" s="38" t="s">
        <v>255</v>
      </c>
      <c r="C209" s="27">
        <v>206</v>
      </c>
      <c r="D209" s="28" t="s">
        <v>303</v>
      </c>
      <c r="E209" s="28"/>
      <c r="F209" s="24" t="s">
        <v>36</v>
      </c>
      <c r="G209" s="25" t="s">
        <v>177</v>
      </c>
      <c r="H209" s="28" t="s">
        <v>38</v>
      </c>
      <c r="I209" s="26">
        <v>1</v>
      </c>
    </row>
    <row r="210" spans="1:9" ht="25.95" hidden="1" customHeight="1" x14ac:dyDescent="0.3">
      <c r="A210" s="37" t="s">
        <v>254</v>
      </c>
      <c r="B210" s="38" t="s">
        <v>255</v>
      </c>
      <c r="C210" s="21">
        <v>207</v>
      </c>
      <c r="D210" s="22" t="s">
        <v>304</v>
      </c>
      <c r="E210" s="22"/>
      <c r="F210" s="24" t="s">
        <v>36</v>
      </c>
      <c r="G210" s="25" t="s">
        <v>305</v>
      </c>
      <c r="H210" s="22" t="s">
        <v>38</v>
      </c>
      <c r="I210" s="26">
        <v>1</v>
      </c>
    </row>
    <row r="211" spans="1:9" ht="25.95" hidden="1" customHeight="1" x14ac:dyDescent="0.3">
      <c r="A211" s="37" t="s">
        <v>254</v>
      </c>
      <c r="B211" s="38" t="s">
        <v>255</v>
      </c>
      <c r="C211" s="27">
        <v>208</v>
      </c>
      <c r="D211" s="28" t="s">
        <v>306</v>
      </c>
      <c r="E211" s="28"/>
      <c r="F211" s="24" t="s">
        <v>36</v>
      </c>
      <c r="G211" s="25" t="s">
        <v>177</v>
      </c>
      <c r="H211" s="28" t="s">
        <v>38</v>
      </c>
      <c r="I211" s="26">
        <v>1</v>
      </c>
    </row>
    <row r="212" spans="1:9" ht="25.95" hidden="1" customHeight="1" x14ac:dyDescent="0.3">
      <c r="A212" s="37" t="s">
        <v>254</v>
      </c>
      <c r="B212" s="38" t="s">
        <v>255</v>
      </c>
      <c r="C212" s="21">
        <v>209</v>
      </c>
      <c r="D212" s="22" t="s">
        <v>307</v>
      </c>
      <c r="E212" s="22"/>
      <c r="F212" s="24" t="s">
        <v>36</v>
      </c>
      <c r="G212" s="25" t="s">
        <v>177</v>
      </c>
      <c r="H212" s="22" t="s">
        <v>38</v>
      </c>
      <c r="I212" s="26">
        <v>1</v>
      </c>
    </row>
    <row r="213" spans="1:9" ht="25.95" hidden="1" customHeight="1" x14ac:dyDescent="0.3">
      <c r="A213" s="37" t="s">
        <v>254</v>
      </c>
      <c r="B213" s="38" t="s">
        <v>255</v>
      </c>
      <c r="C213" s="27">
        <v>210</v>
      </c>
      <c r="D213" s="28" t="s">
        <v>308</v>
      </c>
      <c r="E213" s="28"/>
      <c r="F213" s="24" t="s">
        <v>36</v>
      </c>
      <c r="G213" s="25" t="s">
        <v>258</v>
      </c>
      <c r="H213" s="28" t="s">
        <v>38</v>
      </c>
      <c r="I213" s="26">
        <v>1</v>
      </c>
    </row>
    <row r="214" spans="1:9" ht="25.95" hidden="1" customHeight="1" x14ac:dyDescent="0.3">
      <c r="A214" s="37" t="s">
        <v>254</v>
      </c>
      <c r="B214" s="38" t="s">
        <v>255</v>
      </c>
      <c r="C214" s="21">
        <v>211</v>
      </c>
      <c r="D214" s="22" t="s">
        <v>309</v>
      </c>
      <c r="E214" s="22"/>
      <c r="F214" s="24" t="s">
        <v>36</v>
      </c>
      <c r="G214" s="25" t="s">
        <v>177</v>
      </c>
      <c r="H214" s="22" t="s">
        <v>38</v>
      </c>
      <c r="I214" s="26">
        <v>1</v>
      </c>
    </row>
    <row r="215" spans="1:9" ht="25.95" hidden="1" customHeight="1" x14ac:dyDescent="0.3">
      <c r="A215" s="37" t="s">
        <v>254</v>
      </c>
      <c r="B215" s="38" t="s">
        <v>255</v>
      </c>
      <c r="C215" s="27">
        <v>212</v>
      </c>
      <c r="D215" s="28" t="s">
        <v>310</v>
      </c>
      <c r="E215" s="28"/>
      <c r="F215" s="24" t="s">
        <v>36</v>
      </c>
      <c r="G215" s="25" t="s">
        <v>41</v>
      </c>
      <c r="H215" s="28" t="s">
        <v>38</v>
      </c>
      <c r="I215" s="26">
        <v>1</v>
      </c>
    </row>
    <row r="216" spans="1:9" ht="25.95" hidden="1" customHeight="1" x14ac:dyDescent="0.3">
      <c r="A216" s="37" t="s">
        <v>254</v>
      </c>
      <c r="B216" s="38" t="s">
        <v>255</v>
      </c>
      <c r="C216" s="21">
        <v>213</v>
      </c>
      <c r="D216" s="22" t="s">
        <v>311</v>
      </c>
      <c r="E216" s="22"/>
      <c r="F216" s="24" t="s">
        <v>36</v>
      </c>
      <c r="G216" s="25" t="s">
        <v>270</v>
      </c>
      <c r="H216" s="22" t="s">
        <v>38</v>
      </c>
      <c r="I216" s="26">
        <v>1</v>
      </c>
    </row>
    <row r="217" spans="1:9" ht="25.95" hidden="1" customHeight="1" x14ac:dyDescent="0.3">
      <c r="A217" s="37" t="s">
        <v>254</v>
      </c>
      <c r="B217" s="38" t="s">
        <v>255</v>
      </c>
      <c r="C217" s="27">
        <v>214</v>
      </c>
      <c r="D217" s="28" t="s">
        <v>312</v>
      </c>
      <c r="E217" s="28"/>
      <c r="F217" s="24" t="s">
        <v>36</v>
      </c>
      <c r="G217" s="25" t="s">
        <v>45</v>
      </c>
      <c r="H217" s="28" t="s">
        <v>38</v>
      </c>
      <c r="I217" s="26">
        <v>1</v>
      </c>
    </row>
    <row r="218" spans="1:9" ht="25.95" hidden="1" customHeight="1" x14ac:dyDescent="0.3">
      <c r="A218" s="37" t="s">
        <v>254</v>
      </c>
      <c r="B218" s="38" t="s">
        <v>255</v>
      </c>
      <c r="C218" s="21">
        <v>215</v>
      </c>
      <c r="D218" s="22" t="s">
        <v>313</v>
      </c>
      <c r="E218" s="22"/>
      <c r="F218" s="24" t="s">
        <v>36</v>
      </c>
      <c r="G218" s="25" t="s">
        <v>45</v>
      </c>
      <c r="H218" s="22" t="s">
        <v>38</v>
      </c>
      <c r="I218" s="26">
        <v>1</v>
      </c>
    </row>
    <row r="219" spans="1:9" ht="25.95" hidden="1" customHeight="1" x14ac:dyDescent="0.3">
      <c r="A219" s="37" t="s">
        <v>254</v>
      </c>
      <c r="B219" s="38" t="s">
        <v>255</v>
      </c>
      <c r="C219" s="27">
        <v>216</v>
      </c>
      <c r="D219" s="28" t="s">
        <v>314</v>
      </c>
      <c r="E219" s="28"/>
      <c r="F219" s="24" t="s">
        <v>36</v>
      </c>
      <c r="G219" s="25" t="s">
        <v>45</v>
      </c>
      <c r="H219" s="28" t="s">
        <v>38</v>
      </c>
      <c r="I219" s="26">
        <v>1</v>
      </c>
    </row>
    <row r="220" spans="1:9" ht="25.95" hidden="1" customHeight="1" x14ac:dyDescent="0.3">
      <c r="A220" s="37" t="s">
        <v>254</v>
      </c>
      <c r="B220" s="38" t="s">
        <v>255</v>
      </c>
      <c r="C220" s="21">
        <v>217</v>
      </c>
      <c r="D220" s="22" t="s">
        <v>315</v>
      </c>
      <c r="E220" s="22"/>
      <c r="F220" s="24" t="s">
        <v>36</v>
      </c>
      <c r="G220" s="25" t="s">
        <v>177</v>
      </c>
      <c r="H220" s="22" t="s">
        <v>38</v>
      </c>
      <c r="I220" s="26">
        <v>1</v>
      </c>
    </row>
    <row r="221" spans="1:9" ht="25.95" hidden="1" customHeight="1" x14ac:dyDescent="0.3">
      <c r="A221" s="37" t="s">
        <v>254</v>
      </c>
      <c r="B221" s="38" t="s">
        <v>255</v>
      </c>
      <c r="C221" s="27">
        <v>218</v>
      </c>
      <c r="D221" s="28" t="s">
        <v>316</v>
      </c>
      <c r="E221" s="28"/>
      <c r="F221" s="24" t="s">
        <v>36</v>
      </c>
      <c r="G221" s="25" t="s">
        <v>45</v>
      </c>
      <c r="H221" s="28" t="s">
        <v>38</v>
      </c>
      <c r="I221" s="26">
        <v>1</v>
      </c>
    </row>
    <row r="222" spans="1:9" ht="25.95" hidden="1" customHeight="1" x14ac:dyDescent="0.3">
      <c r="A222" s="37" t="s">
        <v>254</v>
      </c>
      <c r="B222" s="38" t="s">
        <v>255</v>
      </c>
      <c r="C222" s="21">
        <v>219</v>
      </c>
      <c r="D222" s="22" t="s">
        <v>317</v>
      </c>
      <c r="E222" s="22"/>
      <c r="F222" s="24" t="s">
        <v>36</v>
      </c>
      <c r="G222" s="25" t="s">
        <v>263</v>
      </c>
      <c r="H222" s="22" t="s">
        <v>38</v>
      </c>
      <c r="I222" s="26">
        <v>1</v>
      </c>
    </row>
    <row r="223" spans="1:9" ht="25.95" hidden="1" customHeight="1" x14ac:dyDescent="0.3">
      <c r="A223" s="37" t="s">
        <v>254</v>
      </c>
      <c r="B223" s="38" t="s">
        <v>255</v>
      </c>
      <c r="C223" s="27">
        <v>220</v>
      </c>
      <c r="D223" s="28" t="s">
        <v>318</v>
      </c>
      <c r="E223" s="28"/>
      <c r="F223" s="24" t="s">
        <v>36</v>
      </c>
      <c r="G223" s="25" t="s">
        <v>81</v>
      </c>
      <c r="H223" s="28" t="s">
        <v>38</v>
      </c>
      <c r="I223" s="26">
        <v>1</v>
      </c>
    </row>
    <row r="224" spans="1:9" ht="25.95" hidden="1" customHeight="1" x14ac:dyDescent="0.3">
      <c r="A224" s="37" t="s">
        <v>254</v>
      </c>
      <c r="B224" s="38" t="s">
        <v>255</v>
      </c>
      <c r="C224" s="21">
        <v>221</v>
      </c>
      <c r="D224" s="22" t="s">
        <v>319</v>
      </c>
      <c r="E224" s="22"/>
      <c r="F224" s="24" t="s">
        <v>36</v>
      </c>
      <c r="G224" s="25" t="s">
        <v>81</v>
      </c>
      <c r="H224" s="22" t="s">
        <v>38</v>
      </c>
      <c r="I224" s="26">
        <v>1</v>
      </c>
    </row>
    <row r="225" spans="1:9" ht="25.95" hidden="1" customHeight="1" x14ac:dyDescent="0.3">
      <c r="A225" s="37" t="s">
        <v>254</v>
      </c>
      <c r="B225" s="38" t="s">
        <v>255</v>
      </c>
      <c r="C225" s="27">
        <v>222</v>
      </c>
      <c r="D225" s="28" t="s">
        <v>320</v>
      </c>
      <c r="E225" s="28"/>
      <c r="F225" s="24" t="s">
        <v>36</v>
      </c>
      <c r="G225" s="25" t="s">
        <v>45</v>
      </c>
      <c r="H225" s="28" t="s">
        <v>38</v>
      </c>
      <c r="I225" s="26">
        <v>1</v>
      </c>
    </row>
    <row r="226" spans="1:9" ht="25.95" hidden="1" customHeight="1" x14ac:dyDescent="0.3">
      <c r="A226" s="37" t="s">
        <v>254</v>
      </c>
      <c r="B226" s="38" t="s">
        <v>255</v>
      </c>
      <c r="C226" s="21">
        <v>223</v>
      </c>
      <c r="D226" s="22" t="s">
        <v>321</v>
      </c>
      <c r="E226" s="22"/>
      <c r="F226" s="24" t="s">
        <v>36</v>
      </c>
      <c r="G226" s="25" t="s">
        <v>45</v>
      </c>
      <c r="H226" s="22" t="s">
        <v>38</v>
      </c>
      <c r="I226" s="26">
        <v>1</v>
      </c>
    </row>
    <row r="227" spans="1:9" ht="25.95" hidden="1" customHeight="1" x14ac:dyDescent="0.3">
      <c r="A227" s="37" t="s">
        <v>254</v>
      </c>
      <c r="B227" s="38" t="s">
        <v>255</v>
      </c>
      <c r="C227" s="27">
        <v>224</v>
      </c>
      <c r="D227" s="28" t="s">
        <v>322</v>
      </c>
      <c r="E227" s="28"/>
      <c r="F227" s="24" t="s">
        <v>36</v>
      </c>
      <c r="G227" s="25" t="s">
        <v>270</v>
      </c>
      <c r="H227" s="28" t="s">
        <v>38</v>
      </c>
      <c r="I227" s="26">
        <v>1</v>
      </c>
    </row>
    <row r="228" spans="1:9" ht="25.95" hidden="1" customHeight="1" x14ac:dyDescent="0.3">
      <c r="A228" s="37" t="s">
        <v>254</v>
      </c>
      <c r="B228" s="38" t="s">
        <v>255</v>
      </c>
      <c r="C228" s="21">
        <v>225</v>
      </c>
      <c r="D228" s="22" t="s">
        <v>323</v>
      </c>
      <c r="E228" s="22"/>
      <c r="F228" s="24" t="s">
        <v>36</v>
      </c>
      <c r="G228" s="25" t="s">
        <v>45</v>
      </c>
      <c r="H228" s="22" t="s">
        <v>38</v>
      </c>
      <c r="I228" s="26">
        <v>1</v>
      </c>
    </row>
    <row r="229" spans="1:9" ht="25.95" hidden="1" customHeight="1" x14ac:dyDescent="0.3">
      <c r="A229" s="37" t="s">
        <v>254</v>
      </c>
      <c r="B229" s="38" t="s">
        <v>255</v>
      </c>
      <c r="C229" s="27">
        <v>226</v>
      </c>
      <c r="D229" s="28" t="s">
        <v>324</v>
      </c>
      <c r="E229" s="28"/>
      <c r="F229" s="24" t="s">
        <v>36</v>
      </c>
      <c r="G229" s="25" t="s">
        <v>45</v>
      </c>
      <c r="H229" s="28" t="s">
        <v>38</v>
      </c>
      <c r="I229" s="26">
        <v>1</v>
      </c>
    </row>
    <row r="230" spans="1:9" ht="25.95" hidden="1" customHeight="1" x14ac:dyDescent="0.3">
      <c r="A230" s="37" t="s">
        <v>254</v>
      </c>
      <c r="B230" s="38" t="s">
        <v>255</v>
      </c>
      <c r="C230" s="21">
        <v>227</v>
      </c>
      <c r="D230" s="22" t="s">
        <v>325</v>
      </c>
      <c r="E230" s="22"/>
      <c r="F230" s="24" t="s">
        <v>36</v>
      </c>
      <c r="G230" s="25" t="s">
        <v>45</v>
      </c>
      <c r="H230" s="22" t="s">
        <v>38</v>
      </c>
      <c r="I230" s="26">
        <v>1</v>
      </c>
    </row>
    <row r="231" spans="1:9" ht="25.95" hidden="1" customHeight="1" x14ac:dyDescent="0.3">
      <c r="A231" s="37" t="s">
        <v>254</v>
      </c>
      <c r="B231" s="38" t="s">
        <v>255</v>
      </c>
      <c r="C231" s="27">
        <v>228</v>
      </c>
      <c r="D231" s="28" t="s">
        <v>326</v>
      </c>
      <c r="E231" s="28"/>
      <c r="F231" s="24" t="s">
        <v>36</v>
      </c>
      <c r="G231" s="25" t="s">
        <v>263</v>
      </c>
      <c r="H231" s="28" t="s">
        <v>38</v>
      </c>
      <c r="I231" s="26">
        <v>1</v>
      </c>
    </row>
    <row r="232" spans="1:9" ht="25.95" hidden="1" customHeight="1" x14ac:dyDescent="0.3">
      <c r="A232" s="37" t="s">
        <v>254</v>
      </c>
      <c r="B232" s="38" t="s">
        <v>255</v>
      </c>
      <c r="C232" s="21">
        <v>229</v>
      </c>
      <c r="D232" s="22" t="s">
        <v>327</v>
      </c>
      <c r="E232" s="22"/>
      <c r="F232" s="24" t="s">
        <v>36</v>
      </c>
      <c r="G232" s="25" t="s">
        <v>81</v>
      </c>
      <c r="H232" s="22" t="s">
        <v>38</v>
      </c>
      <c r="I232" s="26">
        <v>1</v>
      </c>
    </row>
    <row r="233" spans="1:9" ht="25.95" hidden="1" customHeight="1" x14ac:dyDescent="0.3">
      <c r="A233" s="37" t="s">
        <v>254</v>
      </c>
      <c r="B233" s="38" t="s">
        <v>255</v>
      </c>
      <c r="C233" s="27">
        <v>230</v>
      </c>
      <c r="D233" s="28" t="s">
        <v>328</v>
      </c>
      <c r="E233" s="28"/>
      <c r="F233" s="24" t="s">
        <v>36</v>
      </c>
      <c r="G233" s="25" t="s">
        <v>177</v>
      </c>
      <c r="H233" s="28" t="s">
        <v>38</v>
      </c>
      <c r="I233" s="26">
        <v>1</v>
      </c>
    </row>
    <row r="234" spans="1:9" ht="25.95" hidden="1" customHeight="1" x14ac:dyDescent="0.3">
      <c r="A234" s="37" t="s">
        <v>254</v>
      </c>
      <c r="B234" s="38" t="s">
        <v>255</v>
      </c>
      <c r="C234" s="21">
        <v>231</v>
      </c>
      <c r="D234" s="22" t="s">
        <v>329</v>
      </c>
      <c r="E234" s="22"/>
      <c r="F234" s="24" t="s">
        <v>36</v>
      </c>
      <c r="G234" s="25" t="s">
        <v>81</v>
      </c>
      <c r="H234" s="22" t="s">
        <v>38</v>
      </c>
      <c r="I234" s="26">
        <v>1</v>
      </c>
    </row>
    <row r="235" spans="1:9" ht="25.95" hidden="1" customHeight="1" x14ac:dyDescent="0.3">
      <c r="A235" s="37" t="s">
        <v>254</v>
      </c>
      <c r="B235" s="38" t="s">
        <v>255</v>
      </c>
      <c r="C235" s="27">
        <v>232</v>
      </c>
      <c r="D235" s="28" t="s">
        <v>330</v>
      </c>
      <c r="E235" s="28"/>
      <c r="F235" s="24" t="s">
        <v>36</v>
      </c>
      <c r="G235" s="25" t="s">
        <v>45</v>
      </c>
      <c r="H235" s="28" t="s">
        <v>38</v>
      </c>
      <c r="I235" s="26">
        <v>1</v>
      </c>
    </row>
    <row r="236" spans="1:9" ht="25.95" hidden="1" customHeight="1" x14ac:dyDescent="0.3">
      <c r="A236" s="37" t="s">
        <v>254</v>
      </c>
      <c r="B236" s="38" t="s">
        <v>255</v>
      </c>
      <c r="C236" s="21">
        <v>233</v>
      </c>
      <c r="D236" s="22" t="s">
        <v>331</v>
      </c>
      <c r="E236" s="22"/>
      <c r="F236" s="24" t="s">
        <v>36</v>
      </c>
      <c r="G236" s="25" t="s">
        <v>45</v>
      </c>
      <c r="H236" s="22" t="s">
        <v>38</v>
      </c>
      <c r="I236" s="26">
        <v>1</v>
      </c>
    </row>
    <row r="237" spans="1:9" ht="25.95" hidden="1" customHeight="1" x14ac:dyDescent="0.3">
      <c r="A237" s="37" t="s">
        <v>254</v>
      </c>
      <c r="B237" s="38" t="s">
        <v>255</v>
      </c>
      <c r="C237" s="27">
        <v>234</v>
      </c>
      <c r="D237" s="28" t="s">
        <v>332</v>
      </c>
      <c r="E237" s="28"/>
      <c r="F237" s="24" t="s">
        <v>36</v>
      </c>
      <c r="G237" s="25" t="s">
        <v>258</v>
      </c>
      <c r="H237" s="28" t="s">
        <v>38</v>
      </c>
      <c r="I237" s="26">
        <v>1</v>
      </c>
    </row>
    <row r="238" spans="1:9" ht="25.95" hidden="1" customHeight="1" x14ac:dyDescent="0.3">
      <c r="A238" s="37" t="s">
        <v>254</v>
      </c>
      <c r="B238" s="38" t="s">
        <v>255</v>
      </c>
      <c r="C238" s="21">
        <v>235</v>
      </c>
      <c r="D238" s="22" t="s">
        <v>333</v>
      </c>
      <c r="E238" s="22"/>
      <c r="F238" s="24" t="s">
        <v>36</v>
      </c>
      <c r="G238" s="25" t="s">
        <v>177</v>
      </c>
      <c r="H238" s="22" t="s">
        <v>38</v>
      </c>
      <c r="I238" s="26">
        <v>1</v>
      </c>
    </row>
    <row r="239" spans="1:9" ht="25.95" hidden="1" customHeight="1" x14ac:dyDescent="0.3">
      <c r="A239" s="37" t="s">
        <v>254</v>
      </c>
      <c r="B239" s="38" t="s">
        <v>255</v>
      </c>
      <c r="C239" s="27">
        <v>236</v>
      </c>
      <c r="D239" s="28" t="s">
        <v>334</v>
      </c>
      <c r="E239" s="28"/>
      <c r="F239" s="24" t="s">
        <v>36</v>
      </c>
      <c r="G239" s="25" t="s">
        <v>177</v>
      </c>
      <c r="H239" s="28" t="s">
        <v>38</v>
      </c>
      <c r="I239" s="26">
        <v>1</v>
      </c>
    </row>
    <row r="240" spans="1:9" ht="25.95" hidden="1" customHeight="1" x14ac:dyDescent="0.3">
      <c r="A240" s="37" t="s">
        <v>254</v>
      </c>
      <c r="B240" s="38" t="s">
        <v>255</v>
      </c>
      <c r="C240" s="21">
        <v>237</v>
      </c>
      <c r="D240" s="22" t="s">
        <v>335</v>
      </c>
      <c r="E240" s="22"/>
      <c r="F240" s="24" t="s">
        <v>36</v>
      </c>
      <c r="G240" s="25" t="s">
        <v>258</v>
      </c>
      <c r="H240" s="22" t="s">
        <v>38</v>
      </c>
      <c r="I240" s="26">
        <v>1</v>
      </c>
    </row>
    <row r="241" spans="1:9" ht="25.95" hidden="1" customHeight="1" x14ac:dyDescent="0.3">
      <c r="A241" s="37" t="s">
        <v>254</v>
      </c>
      <c r="B241" s="38" t="s">
        <v>255</v>
      </c>
      <c r="C241" s="27">
        <v>238</v>
      </c>
      <c r="D241" s="28" t="s">
        <v>336</v>
      </c>
      <c r="E241" s="28"/>
      <c r="F241" s="24" t="s">
        <v>36</v>
      </c>
      <c r="G241" s="25" t="s">
        <v>45</v>
      </c>
      <c r="H241" s="28" t="s">
        <v>38</v>
      </c>
      <c r="I241" s="26">
        <v>1</v>
      </c>
    </row>
    <row r="242" spans="1:9" ht="25.95" hidden="1" customHeight="1" x14ac:dyDescent="0.3">
      <c r="A242" s="37" t="s">
        <v>254</v>
      </c>
      <c r="B242" s="38" t="s">
        <v>255</v>
      </c>
      <c r="C242" s="21">
        <v>239</v>
      </c>
      <c r="D242" s="22" t="s">
        <v>337</v>
      </c>
      <c r="E242" s="22"/>
      <c r="F242" s="24" t="s">
        <v>36</v>
      </c>
      <c r="G242" s="25" t="s">
        <v>45</v>
      </c>
      <c r="H242" s="22" t="s">
        <v>38</v>
      </c>
      <c r="I242" s="26">
        <v>1</v>
      </c>
    </row>
    <row r="243" spans="1:9" ht="25.95" hidden="1" customHeight="1" x14ac:dyDescent="0.3">
      <c r="A243" s="37" t="s">
        <v>254</v>
      </c>
      <c r="B243" s="38" t="s">
        <v>255</v>
      </c>
      <c r="C243" s="27">
        <v>240</v>
      </c>
      <c r="D243" s="28" t="s">
        <v>338</v>
      </c>
      <c r="E243" s="28"/>
      <c r="F243" s="24" t="s">
        <v>36</v>
      </c>
      <c r="G243" s="25" t="s">
        <v>81</v>
      </c>
      <c r="H243" s="28" t="s">
        <v>38</v>
      </c>
      <c r="I243" s="26">
        <v>1</v>
      </c>
    </row>
    <row r="244" spans="1:9" ht="25.95" hidden="1" customHeight="1" x14ac:dyDescent="0.3">
      <c r="A244" s="37" t="s">
        <v>254</v>
      </c>
      <c r="B244" s="38" t="s">
        <v>255</v>
      </c>
      <c r="C244" s="21">
        <v>241</v>
      </c>
      <c r="D244" s="22" t="s">
        <v>339</v>
      </c>
      <c r="E244" s="22"/>
      <c r="F244" s="24" t="s">
        <v>36</v>
      </c>
      <c r="G244" s="25" t="s">
        <v>45</v>
      </c>
      <c r="H244" s="22" t="s">
        <v>38</v>
      </c>
      <c r="I244" s="26">
        <v>1</v>
      </c>
    </row>
    <row r="245" spans="1:9" ht="25.95" hidden="1" customHeight="1" x14ac:dyDescent="0.3">
      <c r="A245" s="37" t="s">
        <v>254</v>
      </c>
      <c r="B245" s="38" t="s">
        <v>255</v>
      </c>
      <c r="C245" s="27">
        <v>242</v>
      </c>
      <c r="D245" s="28" t="s">
        <v>340</v>
      </c>
      <c r="E245" s="28"/>
      <c r="F245" s="24" t="s">
        <v>36</v>
      </c>
      <c r="G245" s="25" t="s">
        <v>81</v>
      </c>
      <c r="H245" s="28" t="s">
        <v>38</v>
      </c>
      <c r="I245" s="26">
        <v>1</v>
      </c>
    </row>
    <row r="246" spans="1:9" ht="25.95" hidden="1" customHeight="1" x14ac:dyDescent="0.3">
      <c r="A246" s="37" t="s">
        <v>254</v>
      </c>
      <c r="B246" s="38" t="s">
        <v>255</v>
      </c>
      <c r="C246" s="21">
        <v>243</v>
      </c>
      <c r="D246" s="22" t="s">
        <v>341</v>
      </c>
      <c r="E246" s="22"/>
      <c r="F246" s="24" t="s">
        <v>36</v>
      </c>
      <c r="G246" s="25" t="s">
        <v>45</v>
      </c>
      <c r="H246" s="22" t="s">
        <v>38</v>
      </c>
      <c r="I246" s="26">
        <v>1</v>
      </c>
    </row>
    <row r="247" spans="1:9" ht="25.95" hidden="1" customHeight="1" x14ac:dyDescent="0.3">
      <c r="A247" s="37" t="s">
        <v>254</v>
      </c>
      <c r="B247" s="38" t="s">
        <v>255</v>
      </c>
      <c r="C247" s="27">
        <v>244</v>
      </c>
      <c r="D247" s="28" t="s">
        <v>342</v>
      </c>
      <c r="E247" s="28"/>
      <c r="F247" s="24" t="s">
        <v>36</v>
      </c>
      <c r="G247" s="25" t="s">
        <v>45</v>
      </c>
      <c r="H247" s="28" t="s">
        <v>38</v>
      </c>
      <c r="I247" s="26">
        <v>1</v>
      </c>
    </row>
    <row r="248" spans="1:9" ht="25.95" hidden="1" customHeight="1" x14ac:dyDescent="0.3">
      <c r="A248" s="37" t="s">
        <v>254</v>
      </c>
      <c r="B248" s="38" t="s">
        <v>255</v>
      </c>
      <c r="C248" s="21">
        <v>245</v>
      </c>
      <c r="D248" s="22" t="s">
        <v>343</v>
      </c>
      <c r="E248" s="22"/>
      <c r="F248" s="24" t="s">
        <v>36</v>
      </c>
      <c r="G248" s="25" t="s">
        <v>45</v>
      </c>
      <c r="H248" s="22" t="s">
        <v>38</v>
      </c>
      <c r="I248" s="26">
        <v>1</v>
      </c>
    </row>
    <row r="249" spans="1:9" ht="25.95" hidden="1" customHeight="1" x14ac:dyDescent="0.3">
      <c r="A249" s="37" t="s">
        <v>254</v>
      </c>
      <c r="B249" s="38" t="s">
        <v>255</v>
      </c>
      <c r="C249" s="27">
        <v>246</v>
      </c>
      <c r="D249" s="28" t="s">
        <v>344</v>
      </c>
      <c r="E249" s="28"/>
      <c r="F249" s="24" t="s">
        <v>36</v>
      </c>
      <c r="G249" s="25" t="s">
        <v>81</v>
      </c>
      <c r="H249" s="28" t="s">
        <v>38</v>
      </c>
      <c r="I249" s="26">
        <v>1</v>
      </c>
    </row>
    <row r="250" spans="1:9" ht="25.95" hidden="1" customHeight="1" x14ac:dyDescent="0.3">
      <c r="A250" s="37" t="s">
        <v>254</v>
      </c>
      <c r="B250" s="38" t="s">
        <v>255</v>
      </c>
      <c r="C250" s="21">
        <v>247</v>
      </c>
      <c r="D250" s="22" t="s">
        <v>345</v>
      </c>
      <c r="E250" s="22"/>
      <c r="F250" s="24" t="s">
        <v>36</v>
      </c>
      <c r="G250" s="25" t="s">
        <v>45</v>
      </c>
      <c r="H250" s="22" t="s">
        <v>38</v>
      </c>
      <c r="I250" s="26">
        <v>1</v>
      </c>
    </row>
    <row r="251" spans="1:9" ht="25.95" hidden="1" customHeight="1" x14ac:dyDescent="0.3">
      <c r="A251" s="37" t="s">
        <v>254</v>
      </c>
      <c r="B251" s="38" t="s">
        <v>255</v>
      </c>
      <c r="C251" s="27">
        <v>248</v>
      </c>
      <c r="D251" s="28" t="s">
        <v>346</v>
      </c>
      <c r="E251" s="28"/>
      <c r="F251" s="24" t="s">
        <v>36</v>
      </c>
      <c r="G251" s="25" t="s">
        <v>45</v>
      </c>
      <c r="H251" s="28" t="s">
        <v>38</v>
      </c>
      <c r="I251" s="26">
        <v>1</v>
      </c>
    </row>
    <row r="252" spans="1:9" ht="25.95" hidden="1" customHeight="1" x14ac:dyDescent="0.3">
      <c r="A252" s="37" t="s">
        <v>254</v>
      </c>
      <c r="B252" s="38" t="s">
        <v>255</v>
      </c>
      <c r="C252" s="21">
        <v>249</v>
      </c>
      <c r="D252" s="22" t="s">
        <v>347</v>
      </c>
      <c r="E252" s="22"/>
      <c r="F252" s="24" t="s">
        <v>36</v>
      </c>
      <c r="G252" s="25" t="s">
        <v>45</v>
      </c>
      <c r="H252" s="22" t="s">
        <v>38</v>
      </c>
      <c r="I252" s="26">
        <v>1</v>
      </c>
    </row>
    <row r="253" spans="1:9" ht="25.95" hidden="1" customHeight="1" x14ac:dyDescent="0.3">
      <c r="A253" s="37" t="s">
        <v>254</v>
      </c>
      <c r="B253" s="38" t="s">
        <v>255</v>
      </c>
      <c r="C253" s="27">
        <v>250</v>
      </c>
      <c r="D253" s="28" t="s">
        <v>348</v>
      </c>
      <c r="E253" s="28"/>
      <c r="F253" s="24" t="s">
        <v>36</v>
      </c>
      <c r="G253" s="25" t="s">
        <v>45</v>
      </c>
      <c r="H253" s="28" t="s">
        <v>38</v>
      </c>
      <c r="I253" s="26">
        <v>1</v>
      </c>
    </row>
    <row r="254" spans="1:9" ht="25.95" hidden="1" customHeight="1" x14ac:dyDescent="0.3">
      <c r="A254" s="37" t="s">
        <v>254</v>
      </c>
      <c r="B254" s="38" t="s">
        <v>255</v>
      </c>
      <c r="C254" s="21">
        <v>251</v>
      </c>
      <c r="D254" s="22" t="s">
        <v>349</v>
      </c>
      <c r="E254" s="22"/>
      <c r="F254" s="24" t="s">
        <v>36</v>
      </c>
      <c r="G254" s="25" t="s">
        <v>45</v>
      </c>
      <c r="H254" s="22" t="s">
        <v>38</v>
      </c>
      <c r="I254" s="26">
        <v>1</v>
      </c>
    </row>
    <row r="255" spans="1:9" ht="25.95" hidden="1" customHeight="1" x14ac:dyDescent="0.3">
      <c r="A255" s="37" t="s">
        <v>254</v>
      </c>
      <c r="B255" s="38" t="s">
        <v>255</v>
      </c>
      <c r="C255" s="27">
        <v>252</v>
      </c>
      <c r="D255" s="28" t="s">
        <v>350</v>
      </c>
      <c r="E255" s="28"/>
      <c r="F255" s="24" t="s">
        <v>36</v>
      </c>
      <c r="G255" s="25" t="s">
        <v>81</v>
      </c>
      <c r="H255" s="28" t="s">
        <v>38</v>
      </c>
      <c r="I255" s="26">
        <v>1</v>
      </c>
    </row>
    <row r="256" spans="1:9" ht="25.95" hidden="1" customHeight="1" x14ac:dyDescent="0.3">
      <c r="A256" s="37" t="s">
        <v>254</v>
      </c>
      <c r="B256" s="38" t="s">
        <v>255</v>
      </c>
      <c r="C256" s="21">
        <v>253</v>
      </c>
      <c r="D256" s="22" t="s">
        <v>351</v>
      </c>
      <c r="E256" s="22"/>
      <c r="F256" s="24" t="s">
        <v>36</v>
      </c>
      <c r="G256" s="25" t="s">
        <v>81</v>
      </c>
      <c r="H256" s="22" t="s">
        <v>38</v>
      </c>
      <c r="I256" s="26">
        <v>1</v>
      </c>
    </row>
    <row r="257" spans="1:9" ht="25.95" hidden="1" customHeight="1" x14ac:dyDescent="0.3">
      <c r="A257" s="37" t="s">
        <v>254</v>
      </c>
      <c r="B257" s="38" t="s">
        <v>255</v>
      </c>
      <c r="C257" s="27">
        <v>254</v>
      </c>
      <c r="D257" s="28" t="s">
        <v>352</v>
      </c>
      <c r="E257" s="28"/>
      <c r="F257" s="24" t="s">
        <v>36</v>
      </c>
      <c r="G257" s="25" t="s">
        <v>81</v>
      </c>
      <c r="H257" s="28" t="s">
        <v>38</v>
      </c>
      <c r="I257" s="26">
        <v>1</v>
      </c>
    </row>
    <row r="258" spans="1:9" ht="25.95" hidden="1" customHeight="1" x14ac:dyDescent="0.3">
      <c r="A258" s="37" t="s">
        <v>254</v>
      </c>
      <c r="B258" s="38" t="s">
        <v>255</v>
      </c>
      <c r="C258" s="21">
        <v>255</v>
      </c>
      <c r="D258" s="22" t="s">
        <v>353</v>
      </c>
      <c r="E258" s="22"/>
      <c r="F258" s="24" t="s">
        <v>36</v>
      </c>
      <c r="G258" s="25" t="s">
        <v>45</v>
      </c>
      <c r="H258" s="22" t="s">
        <v>38</v>
      </c>
      <c r="I258" s="26">
        <v>1</v>
      </c>
    </row>
  </sheetData>
  <autoFilter ref="A3:I258" xr:uid="{00000000-0009-0000-0000-000001000000}">
    <filterColumn colId="3">
      <filters>
        <filter val="Daltez"/>
        <filter val="Daltez - Bimestral"/>
      </filters>
    </filterColumn>
  </autoFilter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5"/>
  <sheetViews>
    <sheetView showGridLines="0" topLeftCell="A48" workbookViewId="0">
      <selection activeCell="B55" sqref="B55"/>
    </sheetView>
  </sheetViews>
  <sheetFormatPr defaultRowHeight="14.4" x14ac:dyDescent="0.3"/>
  <cols>
    <col min="1" max="1" width="5" customWidth="1"/>
    <col min="2" max="2" width="44" customWidth="1"/>
    <col min="3" max="3" width="28" customWidth="1"/>
    <col min="4" max="4" width="20" customWidth="1"/>
    <col min="5" max="5" width="56" customWidth="1"/>
    <col min="6" max="6" width="10" customWidth="1"/>
  </cols>
  <sheetData>
    <row r="1" spans="1:6" ht="37.950000000000003" customHeight="1" x14ac:dyDescent="0.3">
      <c r="A1" s="60" t="s">
        <v>354</v>
      </c>
      <c r="B1" s="52"/>
      <c r="C1" s="52"/>
      <c r="D1" s="52"/>
      <c r="E1" s="52"/>
      <c r="F1" s="52"/>
    </row>
    <row r="2" spans="1:6" ht="24" customHeight="1" x14ac:dyDescent="0.3">
      <c r="A2" s="63" t="s">
        <v>355</v>
      </c>
      <c r="B2" s="52"/>
      <c r="C2" s="52"/>
      <c r="D2" s="52"/>
      <c r="E2" s="52"/>
      <c r="F2" s="52"/>
    </row>
    <row r="3" spans="1:6" ht="24" customHeight="1" x14ac:dyDescent="0.3">
      <c r="A3" s="39" t="s">
        <v>25</v>
      </c>
      <c r="B3" s="39" t="s">
        <v>26</v>
      </c>
      <c r="C3" s="39" t="s">
        <v>356</v>
      </c>
      <c r="D3" s="39" t="s">
        <v>28</v>
      </c>
      <c r="E3" s="39" t="s">
        <v>357</v>
      </c>
      <c r="F3" s="39" t="s">
        <v>31</v>
      </c>
    </row>
    <row r="4" spans="1:6" ht="25.95" customHeight="1" x14ac:dyDescent="0.3">
      <c r="A4" s="20">
        <v>1</v>
      </c>
      <c r="B4" s="22" t="s">
        <v>34</v>
      </c>
      <c r="C4" s="22" t="s">
        <v>35</v>
      </c>
      <c r="D4" s="24" t="s">
        <v>36</v>
      </c>
      <c r="E4" s="25" t="s">
        <v>37</v>
      </c>
      <c r="F4" s="26">
        <v>4</v>
      </c>
    </row>
    <row r="5" spans="1:6" ht="25.95" customHeight="1" x14ac:dyDescent="0.3">
      <c r="A5" s="20">
        <v>2</v>
      </c>
      <c r="B5" s="28" t="s">
        <v>39</v>
      </c>
      <c r="C5" s="28" t="s">
        <v>40</v>
      </c>
      <c r="D5" s="29" t="s">
        <v>41</v>
      </c>
      <c r="E5" s="25" t="s">
        <v>41</v>
      </c>
      <c r="F5" s="26">
        <v>1</v>
      </c>
    </row>
    <row r="6" spans="1:6" ht="25.95" customHeight="1" x14ac:dyDescent="0.3">
      <c r="A6" s="20">
        <v>3</v>
      </c>
      <c r="B6" s="22" t="s">
        <v>42</v>
      </c>
      <c r="C6" s="22" t="s">
        <v>40</v>
      </c>
      <c r="D6" s="29" t="s">
        <v>41</v>
      </c>
      <c r="E6" s="25" t="s">
        <v>41</v>
      </c>
      <c r="F6" s="26">
        <v>1</v>
      </c>
    </row>
    <row r="7" spans="1:6" ht="25.95" customHeight="1" x14ac:dyDescent="0.3">
      <c r="A7" s="20">
        <v>4</v>
      </c>
      <c r="B7" s="28" t="s">
        <v>43</v>
      </c>
      <c r="C7" s="28" t="s">
        <v>44</v>
      </c>
      <c r="D7" s="24" t="s">
        <v>36</v>
      </c>
      <c r="E7" s="25" t="s">
        <v>45</v>
      </c>
      <c r="F7" s="26">
        <v>1</v>
      </c>
    </row>
    <row r="8" spans="1:6" ht="25.95" customHeight="1" x14ac:dyDescent="0.3">
      <c r="A8" s="20">
        <v>5</v>
      </c>
      <c r="B8" s="22" t="s">
        <v>46</v>
      </c>
      <c r="C8" s="22" t="s">
        <v>47</v>
      </c>
      <c r="D8" s="29" t="s">
        <v>41</v>
      </c>
      <c r="E8" s="25" t="s">
        <v>41</v>
      </c>
      <c r="F8" s="26">
        <v>1</v>
      </c>
    </row>
    <row r="9" spans="1:6" ht="25.95" customHeight="1" x14ac:dyDescent="0.3">
      <c r="A9" s="20">
        <v>6</v>
      </c>
      <c r="B9" s="28" t="s">
        <v>48</v>
      </c>
      <c r="C9" s="28" t="s">
        <v>49</v>
      </c>
      <c r="D9" s="31" t="s">
        <v>9</v>
      </c>
      <c r="E9" s="25" t="s">
        <v>358</v>
      </c>
      <c r="F9" s="26">
        <v>8</v>
      </c>
    </row>
    <row r="10" spans="1:6" ht="25.95" customHeight="1" x14ac:dyDescent="0.3">
      <c r="A10" s="20">
        <v>7</v>
      </c>
      <c r="B10" s="22" t="s">
        <v>51</v>
      </c>
      <c r="C10" s="22" t="s">
        <v>44</v>
      </c>
      <c r="D10" s="24" t="s">
        <v>36</v>
      </c>
      <c r="E10" s="25" t="s">
        <v>52</v>
      </c>
      <c r="F10" s="26">
        <v>2</v>
      </c>
    </row>
    <row r="11" spans="1:6" ht="25.95" customHeight="1" x14ac:dyDescent="0.3">
      <c r="A11" s="20">
        <v>8</v>
      </c>
      <c r="B11" s="28" t="s">
        <v>53</v>
      </c>
      <c r="C11" s="28" t="s">
        <v>54</v>
      </c>
      <c r="D11" s="24" t="s">
        <v>36</v>
      </c>
      <c r="E11" s="25" t="s">
        <v>55</v>
      </c>
      <c r="F11" s="26">
        <v>6</v>
      </c>
    </row>
    <row r="12" spans="1:6" ht="25.95" customHeight="1" x14ac:dyDescent="0.3">
      <c r="A12" s="20">
        <v>9</v>
      </c>
      <c r="B12" s="22" t="s">
        <v>56</v>
      </c>
      <c r="C12" s="22" t="s">
        <v>40</v>
      </c>
      <c r="D12" s="24" t="s">
        <v>36</v>
      </c>
      <c r="E12" s="25" t="s">
        <v>57</v>
      </c>
      <c r="F12" s="26">
        <v>4</v>
      </c>
    </row>
    <row r="13" spans="1:6" ht="25.95" customHeight="1" x14ac:dyDescent="0.3">
      <c r="A13" s="20">
        <v>10</v>
      </c>
      <c r="B13" s="28" t="s">
        <v>58</v>
      </c>
      <c r="C13" s="28" t="s">
        <v>40</v>
      </c>
      <c r="D13" s="24" t="s">
        <v>36</v>
      </c>
      <c r="E13" s="25" t="s">
        <v>59</v>
      </c>
      <c r="F13" s="26">
        <v>3</v>
      </c>
    </row>
    <row r="14" spans="1:6" ht="25.95" customHeight="1" x14ac:dyDescent="0.3">
      <c r="A14" s="20">
        <v>11</v>
      </c>
      <c r="B14" s="22" t="s">
        <v>60</v>
      </c>
      <c r="C14" s="22" t="s">
        <v>40</v>
      </c>
      <c r="D14" s="24" t="s">
        <v>36</v>
      </c>
      <c r="E14" s="25" t="s">
        <v>61</v>
      </c>
      <c r="F14" s="26">
        <v>2</v>
      </c>
    </row>
    <row r="15" spans="1:6" ht="25.95" customHeight="1" x14ac:dyDescent="0.3">
      <c r="A15" s="20">
        <v>12</v>
      </c>
      <c r="B15" s="28" t="s">
        <v>62</v>
      </c>
      <c r="C15" s="28" t="s">
        <v>63</v>
      </c>
      <c r="D15" s="29" t="s">
        <v>41</v>
      </c>
      <c r="E15" s="25" t="s">
        <v>41</v>
      </c>
      <c r="F15" s="26">
        <v>1</v>
      </c>
    </row>
    <row r="16" spans="1:6" ht="25.95" customHeight="1" x14ac:dyDescent="0.3">
      <c r="A16" s="20">
        <v>13</v>
      </c>
      <c r="B16" s="22" t="s">
        <v>64</v>
      </c>
      <c r="C16" s="22" t="s">
        <v>47</v>
      </c>
      <c r="D16" s="24" t="s">
        <v>36</v>
      </c>
      <c r="E16" s="25" t="s">
        <v>65</v>
      </c>
      <c r="F16" s="26">
        <v>7</v>
      </c>
    </row>
    <row r="17" spans="1:6" ht="25.95" customHeight="1" x14ac:dyDescent="0.3">
      <c r="A17" s="20">
        <v>14</v>
      </c>
      <c r="B17" s="28" t="s">
        <v>66</v>
      </c>
      <c r="C17" s="28" t="s">
        <v>49</v>
      </c>
      <c r="D17" s="24" t="s">
        <v>36</v>
      </c>
      <c r="E17" s="25" t="s">
        <v>67</v>
      </c>
      <c r="F17" s="26">
        <v>4</v>
      </c>
    </row>
    <row r="18" spans="1:6" ht="25.95" customHeight="1" x14ac:dyDescent="0.3">
      <c r="A18" s="20">
        <v>15</v>
      </c>
      <c r="B18" s="22" t="s">
        <v>68</v>
      </c>
      <c r="C18" s="22" t="s">
        <v>40</v>
      </c>
      <c r="D18" s="24" t="s">
        <v>36</v>
      </c>
      <c r="E18" s="25" t="s">
        <v>69</v>
      </c>
      <c r="F18" s="26">
        <v>3</v>
      </c>
    </row>
    <row r="19" spans="1:6" ht="25.95" customHeight="1" x14ac:dyDescent="0.3">
      <c r="A19" s="20">
        <v>16</v>
      </c>
      <c r="B19" s="28" t="s">
        <v>70</v>
      </c>
      <c r="C19" s="28" t="s">
        <v>71</v>
      </c>
      <c r="D19" s="24" t="s">
        <v>36</v>
      </c>
      <c r="E19" s="25" t="s">
        <v>72</v>
      </c>
      <c r="F19" s="26">
        <v>5</v>
      </c>
    </row>
    <row r="20" spans="1:6" ht="25.95" customHeight="1" x14ac:dyDescent="0.3">
      <c r="A20" s="20">
        <v>17</v>
      </c>
      <c r="B20" s="22" t="s">
        <v>73</v>
      </c>
      <c r="C20" s="22" t="s">
        <v>71</v>
      </c>
      <c r="D20" s="29" t="s">
        <v>41</v>
      </c>
      <c r="E20" s="25" t="s">
        <v>41</v>
      </c>
      <c r="F20" s="26">
        <v>1</v>
      </c>
    </row>
    <row r="21" spans="1:6" ht="25.95" customHeight="1" x14ac:dyDescent="0.3">
      <c r="A21" s="20">
        <v>18</v>
      </c>
      <c r="B21" s="28" t="s">
        <v>74</v>
      </c>
      <c r="C21" s="28" t="s">
        <v>71</v>
      </c>
      <c r="D21" s="29" t="s">
        <v>41</v>
      </c>
      <c r="E21" s="25" t="s">
        <v>41</v>
      </c>
      <c r="F21" s="26">
        <v>1</v>
      </c>
    </row>
    <row r="22" spans="1:6" ht="25.95" customHeight="1" x14ac:dyDescent="0.3">
      <c r="A22" s="20">
        <v>19</v>
      </c>
      <c r="B22" s="22" t="s">
        <v>75</v>
      </c>
      <c r="C22" s="22" t="s">
        <v>71</v>
      </c>
      <c r="D22" s="24" t="s">
        <v>36</v>
      </c>
      <c r="E22" s="25" t="s">
        <v>76</v>
      </c>
      <c r="F22" s="26">
        <v>7</v>
      </c>
    </row>
    <row r="23" spans="1:6" ht="25.95" customHeight="1" x14ac:dyDescent="0.3">
      <c r="A23" s="20">
        <v>20</v>
      </c>
      <c r="B23" s="28" t="s">
        <v>77</v>
      </c>
      <c r="C23" s="28" t="s">
        <v>47</v>
      </c>
      <c r="D23" s="29" t="s">
        <v>41</v>
      </c>
      <c r="E23" s="25" t="s">
        <v>41</v>
      </c>
      <c r="F23" s="26">
        <v>1</v>
      </c>
    </row>
    <row r="24" spans="1:6" ht="25.95" customHeight="1" x14ac:dyDescent="0.3">
      <c r="A24" s="20">
        <v>21</v>
      </c>
      <c r="B24" s="22" t="s">
        <v>78</v>
      </c>
      <c r="C24" s="22" t="s">
        <v>63</v>
      </c>
      <c r="D24" s="31" t="s">
        <v>9</v>
      </c>
      <c r="E24" s="25" t="s">
        <v>359</v>
      </c>
      <c r="F24" s="26">
        <v>3</v>
      </c>
    </row>
    <row r="25" spans="1:6" ht="25.95" customHeight="1" x14ac:dyDescent="0.3">
      <c r="A25" s="20">
        <v>22</v>
      </c>
      <c r="B25" s="28" t="s">
        <v>80</v>
      </c>
      <c r="C25" s="28" t="s">
        <v>63</v>
      </c>
      <c r="D25" s="31" t="s">
        <v>9</v>
      </c>
      <c r="E25" s="25" t="s">
        <v>239</v>
      </c>
      <c r="F25" s="26">
        <v>2</v>
      </c>
    </row>
    <row r="26" spans="1:6" ht="25.95" customHeight="1" x14ac:dyDescent="0.3">
      <c r="A26" s="20">
        <v>23</v>
      </c>
      <c r="B26" s="22" t="s">
        <v>82</v>
      </c>
      <c r="C26" s="22" t="s">
        <v>83</v>
      </c>
      <c r="D26" s="31" t="s">
        <v>9</v>
      </c>
      <c r="E26" s="25" t="s">
        <v>360</v>
      </c>
      <c r="F26" s="26">
        <v>3</v>
      </c>
    </row>
    <row r="27" spans="1:6" ht="25.95" customHeight="1" x14ac:dyDescent="0.3">
      <c r="A27" s="20">
        <v>24</v>
      </c>
      <c r="B27" s="28" t="s">
        <v>84</v>
      </c>
      <c r="C27" s="28" t="s">
        <v>49</v>
      </c>
      <c r="D27" s="24" t="s">
        <v>36</v>
      </c>
      <c r="E27" s="25" t="s">
        <v>85</v>
      </c>
      <c r="F27" s="26">
        <v>5</v>
      </c>
    </row>
    <row r="28" spans="1:6" ht="25.95" customHeight="1" x14ac:dyDescent="0.3">
      <c r="A28" s="20">
        <v>25</v>
      </c>
      <c r="B28" s="22" t="s">
        <v>86</v>
      </c>
      <c r="C28" s="22" t="s">
        <v>44</v>
      </c>
      <c r="D28" s="24" t="s">
        <v>36</v>
      </c>
      <c r="E28" s="25" t="s">
        <v>79</v>
      </c>
      <c r="F28" s="26">
        <v>2</v>
      </c>
    </row>
    <row r="29" spans="1:6" ht="25.95" customHeight="1" x14ac:dyDescent="0.3">
      <c r="A29" s="20">
        <v>26</v>
      </c>
      <c r="B29" s="28" t="s">
        <v>87</v>
      </c>
      <c r="C29" s="28" t="s">
        <v>71</v>
      </c>
      <c r="D29" s="31" t="s">
        <v>9</v>
      </c>
      <c r="E29" s="25" t="s">
        <v>361</v>
      </c>
      <c r="F29" s="26">
        <v>4</v>
      </c>
    </row>
    <row r="30" spans="1:6" ht="25.95" customHeight="1" x14ac:dyDescent="0.3">
      <c r="A30" s="20">
        <v>27</v>
      </c>
      <c r="B30" s="22" t="s">
        <v>89</v>
      </c>
      <c r="C30" s="22" t="s">
        <v>71</v>
      </c>
      <c r="D30" s="29" t="s">
        <v>41</v>
      </c>
      <c r="E30" s="25" t="s">
        <v>41</v>
      </c>
      <c r="F30" s="26">
        <v>1</v>
      </c>
    </row>
    <row r="31" spans="1:6" ht="25.95" customHeight="1" x14ac:dyDescent="0.3">
      <c r="A31" s="20">
        <v>28</v>
      </c>
      <c r="B31" s="28" t="s">
        <v>90</v>
      </c>
      <c r="C31" s="28" t="s">
        <v>47</v>
      </c>
      <c r="D31" s="31" t="s">
        <v>9</v>
      </c>
      <c r="E31" s="25" t="s">
        <v>239</v>
      </c>
      <c r="F31" s="26">
        <v>2</v>
      </c>
    </row>
    <row r="32" spans="1:6" ht="25.95" customHeight="1" x14ac:dyDescent="0.3">
      <c r="A32" s="20">
        <v>29</v>
      </c>
      <c r="B32" s="22" t="s">
        <v>91</v>
      </c>
      <c r="C32" s="22" t="s">
        <v>49</v>
      </c>
      <c r="D32" s="24" t="s">
        <v>36</v>
      </c>
      <c r="E32" s="25" t="s">
        <v>61</v>
      </c>
      <c r="F32" s="26">
        <v>2</v>
      </c>
    </row>
    <row r="33" spans="1:6" ht="25.95" customHeight="1" x14ac:dyDescent="0.3">
      <c r="A33" s="20">
        <v>30</v>
      </c>
      <c r="B33" s="28" t="s">
        <v>92</v>
      </c>
      <c r="C33" s="28" t="s">
        <v>49</v>
      </c>
      <c r="D33" s="29" t="s">
        <v>41</v>
      </c>
      <c r="E33" s="25" t="s">
        <v>41</v>
      </c>
      <c r="F33" s="26">
        <v>1</v>
      </c>
    </row>
    <row r="34" spans="1:6" ht="25.95" customHeight="1" x14ac:dyDescent="0.3">
      <c r="A34" s="20">
        <v>31</v>
      </c>
      <c r="B34" s="22" t="s">
        <v>93</v>
      </c>
      <c r="C34" s="22" t="s">
        <v>49</v>
      </c>
      <c r="D34" s="29" t="s">
        <v>41</v>
      </c>
      <c r="E34" s="25" t="s">
        <v>41</v>
      </c>
      <c r="F34" s="26">
        <v>1</v>
      </c>
    </row>
    <row r="35" spans="1:6" ht="25.95" customHeight="1" x14ac:dyDescent="0.3">
      <c r="A35" s="20">
        <v>32</v>
      </c>
      <c r="B35" s="28" t="s">
        <v>94</v>
      </c>
      <c r="C35" s="28" t="s">
        <v>49</v>
      </c>
      <c r="D35" s="29" t="s">
        <v>41</v>
      </c>
      <c r="E35" s="25" t="s">
        <v>41</v>
      </c>
      <c r="F35" s="26">
        <v>1</v>
      </c>
    </row>
    <row r="36" spans="1:6" ht="25.95" customHeight="1" x14ac:dyDescent="0.3">
      <c r="A36" s="20">
        <v>33</v>
      </c>
      <c r="B36" s="22" t="s">
        <v>95</v>
      </c>
      <c r="C36" s="22" t="s">
        <v>54</v>
      </c>
      <c r="D36" s="24" t="s">
        <v>36</v>
      </c>
      <c r="E36" s="25" t="s">
        <v>96</v>
      </c>
      <c r="F36" s="26">
        <v>5</v>
      </c>
    </row>
    <row r="37" spans="1:6" ht="25.95" customHeight="1" x14ac:dyDescent="0.3">
      <c r="A37" s="20">
        <v>34</v>
      </c>
      <c r="B37" s="28" t="s">
        <v>97</v>
      </c>
      <c r="C37" s="28" t="s">
        <v>47</v>
      </c>
      <c r="D37" s="24" t="s">
        <v>36</v>
      </c>
      <c r="E37" s="25" t="s">
        <v>98</v>
      </c>
      <c r="F37" s="26">
        <v>6</v>
      </c>
    </row>
    <row r="38" spans="1:6" ht="25.95" customHeight="1" x14ac:dyDescent="0.3">
      <c r="A38" s="20">
        <v>35</v>
      </c>
      <c r="B38" s="22" t="s">
        <v>99</v>
      </c>
      <c r="C38" s="22" t="s">
        <v>47</v>
      </c>
      <c r="D38" s="29" t="s">
        <v>41</v>
      </c>
      <c r="E38" s="25" t="s">
        <v>41</v>
      </c>
      <c r="F38" s="26">
        <v>1</v>
      </c>
    </row>
    <row r="39" spans="1:6" ht="25.95" customHeight="1" x14ac:dyDescent="0.3">
      <c r="A39" s="20">
        <v>36</v>
      </c>
      <c r="B39" s="28" t="s">
        <v>100</v>
      </c>
      <c r="C39" s="28" t="s">
        <v>40</v>
      </c>
      <c r="D39" s="24" t="s">
        <v>36</v>
      </c>
      <c r="E39" s="25" t="s">
        <v>81</v>
      </c>
      <c r="F39" s="26">
        <v>1</v>
      </c>
    </row>
    <row r="40" spans="1:6" ht="7.95" customHeight="1" x14ac:dyDescent="0.3"/>
    <row r="42" spans="1:6" ht="24" customHeight="1" x14ac:dyDescent="0.3">
      <c r="A42" s="64" t="s">
        <v>362</v>
      </c>
      <c r="B42" s="52"/>
      <c r="C42" s="52"/>
      <c r="D42" s="52"/>
      <c r="E42" s="52"/>
      <c r="F42" s="52"/>
    </row>
    <row r="43" spans="1:6" ht="24" customHeight="1" x14ac:dyDescent="0.3">
      <c r="A43" s="39" t="s">
        <v>25</v>
      </c>
      <c r="B43" s="39" t="s">
        <v>26</v>
      </c>
      <c r="C43" s="39" t="s">
        <v>356</v>
      </c>
      <c r="D43" s="39" t="s">
        <v>28</v>
      </c>
      <c r="E43" s="39" t="s">
        <v>357</v>
      </c>
      <c r="F43" s="39" t="s">
        <v>31</v>
      </c>
    </row>
    <row r="44" spans="1:6" ht="25.95" customHeight="1" x14ac:dyDescent="0.3">
      <c r="A44" s="32">
        <v>1</v>
      </c>
      <c r="B44" s="22" t="s">
        <v>102</v>
      </c>
      <c r="C44" s="22" t="s">
        <v>363</v>
      </c>
      <c r="D44" s="29" t="s">
        <v>41</v>
      </c>
      <c r="E44" s="25" t="s">
        <v>41</v>
      </c>
      <c r="F44" s="26">
        <v>1</v>
      </c>
    </row>
    <row r="45" spans="1:6" ht="25.95" customHeight="1" x14ac:dyDescent="0.3">
      <c r="A45" s="32">
        <v>2</v>
      </c>
      <c r="B45" s="28" t="s">
        <v>103</v>
      </c>
      <c r="C45" s="28" t="s">
        <v>363</v>
      </c>
      <c r="D45" s="29" t="s">
        <v>41</v>
      </c>
      <c r="E45" s="25" t="s">
        <v>41</v>
      </c>
      <c r="F45" s="26">
        <v>1</v>
      </c>
    </row>
    <row r="46" spans="1:6" ht="25.95" customHeight="1" x14ac:dyDescent="0.3">
      <c r="A46" s="32">
        <v>3</v>
      </c>
      <c r="B46" s="22" t="s">
        <v>104</v>
      </c>
      <c r="C46" s="22" t="s">
        <v>363</v>
      </c>
      <c r="D46" s="29" t="s">
        <v>41</v>
      </c>
      <c r="E46" s="25" t="s">
        <v>41</v>
      </c>
      <c r="F46" s="26">
        <v>1</v>
      </c>
    </row>
    <row r="47" spans="1:6" ht="25.95" customHeight="1" x14ac:dyDescent="0.3">
      <c r="A47" s="32">
        <v>4</v>
      </c>
      <c r="B47" s="28" t="s">
        <v>105</v>
      </c>
      <c r="C47" s="28" t="s">
        <v>363</v>
      </c>
      <c r="D47" s="29" t="s">
        <v>41</v>
      </c>
      <c r="E47" s="25" t="s">
        <v>41</v>
      </c>
      <c r="F47" s="26">
        <v>1</v>
      </c>
    </row>
    <row r="48" spans="1:6" ht="25.95" customHeight="1" x14ac:dyDescent="0.3">
      <c r="A48" s="32">
        <v>5</v>
      </c>
      <c r="B48" s="22" t="s">
        <v>106</v>
      </c>
      <c r="C48" s="22" t="s">
        <v>363</v>
      </c>
      <c r="D48" s="29" t="s">
        <v>41</v>
      </c>
      <c r="E48" s="25" t="s">
        <v>41</v>
      </c>
      <c r="F48" s="26">
        <v>1</v>
      </c>
    </row>
    <row r="49" spans="1:6" ht="25.95" customHeight="1" x14ac:dyDescent="0.3">
      <c r="A49" s="32">
        <v>6</v>
      </c>
      <c r="B49" s="28" t="s">
        <v>107</v>
      </c>
      <c r="C49" s="28" t="s">
        <v>363</v>
      </c>
      <c r="D49" s="29" t="s">
        <v>41</v>
      </c>
      <c r="E49" s="25" t="s">
        <v>41</v>
      </c>
      <c r="F49" s="26">
        <v>1</v>
      </c>
    </row>
    <row r="50" spans="1:6" ht="25.95" customHeight="1" x14ac:dyDescent="0.3">
      <c r="A50" s="32">
        <v>7</v>
      </c>
      <c r="B50" s="22" t="s">
        <v>108</v>
      </c>
      <c r="C50" s="22" t="s">
        <v>363</v>
      </c>
      <c r="D50" s="29" t="s">
        <v>41</v>
      </c>
      <c r="E50" s="25" t="s">
        <v>41</v>
      </c>
      <c r="F50" s="26">
        <v>1</v>
      </c>
    </row>
    <row r="51" spans="1:6" ht="25.95" customHeight="1" x14ac:dyDescent="0.3">
      <c r="A51" s="32">
        <v>8</v>
      </c>
      <c r="B51" s="28" t="s">
        <v>109</v>
      </c>
      <c r="C51" s="28" t="s">
        <v>363</v>
      </c>
      <c r="D51" s="29" t="s">
        <v>41</v>
      </c>
      <c r="E51" s="25" t="s">
        <v>41</v>
      </c>
      <c r="F51" s="26">
        <v>1</v>
      </c>
    </row>
    <row r="52" spans="1:6" ht="25.95" customHeight="1" x14ac:dyDescent="0.3">
      <c r="A52" s="32">
        <v>9</v>
      </c>
      <c r="B52" s="22" t="s">
        <v>110</v>
      </c>
      <c r="C52" s="22" t="s">
        <v>363</v>
      </c>
      <c r="D52" s="29" t="s">
        <v>41</v>
      </c>
      <c r="E52" s="25" t="s">
        <v>41</v>
      </c>
      <c r="F52" s="26">
        <v>1</v>
      </c>
    </row>
    <row r="53" spans="1:6" ht="25.95" customHeight="1" x14ac:dyDescent="0.3">
      <c r="A53" s="32">
        <v>10</v>
      </c>
      <c r="B53" s="28" t="s">
        <v>111</v>
      </c>
      <c r="C53" s="28" t="s">
        <v>363</v>
      </c>
      <c r="D53" s="29" t="s">
        <v>41</v>
      </c>
      <c r="E53" s="25" t="s">
        <v>41</v>
      </c>
      <c r="F53" s="26">
        <v>1</v>
      </c>
    </row>
    <row r="54" spans="1:6" ht="25.95" customHeight="1" x14ac:dyDescent="0.3">
      <c r="A54" s="32">
        <v>11</v>
      </c>
      <c r="B54" s="22" t="s">
        <v>112</v>
      </c>
      <c r="C54" s="22" t="s">
        <v>363</v>
      </c>
      <c r="D54" s="29" t="s">
        <v>41</v>
      </c>
      <c r="E54" s="25" t="s">
        <v>41</v>
      </c>
      <c r="F54" s="26">
        <v>1</v>
      </c>
    </row>
    <row r="55" spans="1:6" ht="25.95" customHeight="1" x14ac:dyDescent="0.3">
      <c r="A55" s="32">
        <v>12</v>
      </c>
      <c r="B55" s="28" t="s">
        <v>113</v>
      </c>
      <c r="C55" s="28" t="s">
        <v>363</v>
      </c>
      <c r="D55" s="29" t="s">
        <v>41</v>
      </c>
      <c r="E55" s="25" t="s">
        <v>41</v>
      </c>
      <c r="F55" s="26">
        <v>1</v>
      </c>
    </row>
    <row r="56" spans="1:6" ht="25.95" customHeight="1" x14ac:dyDescent="0.3">
      <c r="A56" s="32">
        <v>13</v>
      </c>
      <c r="B56" s="22" t="s">
        <v>114</v>
      </c>
      <c r="C56" s="22" t="s">
        <v>363</v>
      </c>
      <c r="D56" s="29" t="s">
        <v>41</v>
      </c>
      <c r="E56" s="25" t="s">
        <v>41</v>
      </c>
      <c r="F56" s="26">
        <v>1</v>
      </c>
    </row>
    <row r="57" spans="1:6" ht="25.95" customHeight="1" x14ac:dyDescent="0.3">
      <c r="A57" s="32">
        <v>14</v>
      </c>
      <c r="B57" s="28" t="s">
        <v>115</v>
      </c>
      <c r="C57" s="28" t="s">
        <v>363</v>
      </c>
      <c r="D57" s="29" t="s">
        <v>41</v>
      </c>
      <c r="E57" s="25" t="s">
        <v>41</v>
      </c>
      <c r="F57" s="26">
        <v>1</v>
      </c>
    </row>
    <row r="58" spans="1:6" ht="25.95" customHeight="1" x14ac:dyDescent="0.3">
      <c r="A58" s="32">
        <v>15</v>
      </c>
      <c r="B58" s="22" t="s">
        <v>116</v>
      </c>
      <c r="C58" s="22" t="s">
        <v>363</v>
      </c>
      <c r="D58" s="29" t="s">
        <v>41</v>
      </c>
      <c r="E58" s="25" t="s">
        <v>41</v>
      </c>
      <c r="F58" s="26">
        <v>1</v>
      </c>
    </row>
    <row r="59" spans="1:6" ht="25.95" customHeight="1" x14ac:dyDescent="0.3">
      <c r="A59" s="32">
        <v>16</v>
      </c>
      <c r="B59" s="28" t="s">
        <v>117</v>
      </c>
      <c r="C59" s="28" t="s">
        <v>363</v>
      </c>
      <c r="D59" s="29" t="s">
        <v>41</v>
      </c>
      <c r="E59" s="25" t="s">
        <v>41</v>
      </c>
      <c r="F59" s="26">
        <v>1</v>
      </c>
    </row>
    <row r="60" spans="1:6" ht="25.95" customHeight="1" x14ac:dyDescent="0.3">
      <c r="A60" s="32">
        <v>17</v>
      </c>
      <c r="B60" s="22" t="s">
        <v>118</v>
      </c>
      <c r="C60" s="22" t="s">
        <v>363</v>
      </c>
      <c r="D60" s="29" t="s">
        <v>41</v>
      </c>
      <c r="E60" s="25" t="s">
        <v>41</v>
      </c>
      <c r="F60" s="26">
        <v>1</v>
      </c>
    </row>
    <row r="61" spans="1:6" ht="25.95" customHeight="1" x14ac:dyDescent="0.3">
      <c r="A61" s="32">
        <v>18</v>
      </c>
      <c r="B61" s="28" t="s">
        <v>119</v>
      </c>
      <c r="C61" s="28" t="s">
        <v>363</v>
      </c>
      <c r="D61" s="29" t="s">
        <v>41</v>
      </c>
      <c r="E61" s="25" t="s">
        <v>41</v>
      </c>
      <c r="F61" s="26">
        <v>1</v>
      </c>
    </row>
    <row r="62" spans="1:6" ht="25.95" customHeight="1" x14ac:dyDescent="0.3">
      <c r="A62" s="32">
        <v>19</v>
      </c>
      <c r="B62" s="22" t="s">
        <v>120</v>
      </c>
      <c r="C62" s="22" t="s">
        <v>363</v>
      </c>
      <c r="D62" s="29" t="s">
        <v>41</v>
      </c>
      <c r="E62" s="25" t="s">
        <v>41</v>
      </c>
      <c r="F62" s="26">
        <v>1</v>
      </c>
    </row>
    <row r="63" spans="1:6" ht="25.95" customHeight="1" x14ac:dyDescent="0.3">
      <c r="A63" s="32">
        <v>20</v>
      </c>
      <c r="B63" s="28" t="s">
        <v>121</v>
      </c>
      <c r="C63" s="28" t="s">
        <v>363</v>
      </c>
      <c r="D63" s="29" t="s">
        <v>41</v>
      </c>
      <c r="E63" s="25" t="s">
        <v>41</v>
      </c>
      <c r="F63" s="26">
        <v>1</v>
      </c>
    </row>
    <row r="64" spans="1:6" ht="25.95" customHeight="1" x14ac:dyDescent="0.3">
      <c r="A64" s="32">
        <v>21</v>
      </c>
      <c r="B64" s="22" t="s">
        <v>122</v>
      </c>
      <c r="C64" s="22" t="s">
        <v>363</v>
      </c>
      <c r="D64" s="29" t="s">
        <v>41</v>
      </c>
      <c r="E64" s="25" t="s">
        <v>41</v>
      </c>
      <c r="F64" s="26">
        <v>1</v>
      </c>
    </row>
    <row r="65" spans="1:6" ht="25.95" customHeight="1" x14ac:dyDescent="0.3">
      <c r="A65" s="32">
        <v>22</v>
      </c>
      <c r="B65" s="28" t="s">
        <v>123</v>
      </c>
      <c r="C65" s="28" t="s">
        <v>363</v>
      </c>
      <c r="D65" s="29" t="s">
        <v>41</v>
      </c>
      <c r="E65" s="25" t="s">
        <v>41</v>
      </c>
      <c r="F65" s="26">
        <v>1</v>
      </c>
    </row>
    <row r="66" spans="1:6" ht="25.95" customHeight="1" x14ac:dyDescent="0.3">
      <c r="A66" s="32">
        <v>23</v>
      </c>
      <c r="B66" s="22" t="s">
        <v>124</v>
      </c>
      <c r="C66" s="22" t="s">
        <v>363</v>
      </c>
      <c r="D66" s="29" t="s">
        <v>41</v>
      </c>
      <c r="E66" s="25" t="s">
        <v>41</v>
      </c>
      <c r="F66" s="26">
        <v>1</v>
      </c>
    </row>
    <row r="67" spans="1:6" ht="25.95" customHeight="1" x14ac:dyDescent="0.3">
      <c r="A67" s="32">
        <v>24</v>
      </c>
      <c r="B67" s="28" t="s">
        <v>125</v>
      </c>
      <c r="C67" s="28" t="s">
        <v>363</v>
      </c>
      <c r="D67" s="29" t="s">
        <v>41</v>
      </c>
      <c r="E67" s="25" t="s">
        <v>41</v>
      </c>
      <c r="F67" s="26">
        <v>1</v>
      </c>
    </row>
    <row r="68" spans="1:6" ht="25.95" customHeight="1" x14ac:dyDescent="0.3">
      <c r="A68" s="32">
        <v>25</v>
      </c>
      <c r="B68" s="22" t="s">
        <v>126</v>
      </c>
      <c r="C68" s="22" t="s">
        <v>363</v>
      </c>
      <c r="D68" s="29" t="s">
        <v>41</v>
      </c>
      <c r="E68" s="25" t="s">
        <v>41</v>
      </c>
      <c r="F68" s="26">
        <v>1</v>
      </c>
    </row>
    <row r="69" spans="1:6" ht="25.95" customHeight="1" x14ac:dyDescent="0.3">
      <c r="A69" s="32">
        <v>26</v>
      </c>
      <c r="B69" s="28" t="s">
        <v>127</v>
      </c>
      <c r="C69" s="28" t="s">
        <v>363</v>
      </c>
      <c r="D69" s="29" t="s">
        <v>41</v>
      </c>
      <c r="E69" s="25" t="s">
        <v>41</v>
      </c>
      <c r="F69" s="26">
        <v>1</v>
      </c>
    </row>
    <row r="70" spans="1:6" ht="25.95" customHeight="1" x14ac:dyDescent="0.3">
      <c r="A70" s="32">
        <v>27</v>
      </c>
      <c r="B70" s="22" t="s">
        <v>128</v>
      </c>
      <c r="C70" s="22" t="s">
        <v>363</v>
      </c>
      <c r="D70" s="29" t="s">
        <v>41</v>
      </c>
      <c r="E70" s="25" t="s">
        <v>41</v>
      </c>
      <c r="F70" s="26">
        <v>1</v>
      </c>
    </row>
    <row r="71" spans="1:6" ht="25.95" customHeight="1" x14ac:dyDescent="0.3">
      <c r="A71" s="32">
        <v>28</v>
      </c>
      <c r="B71" s="28" t="s">
        <v>129</v>
      </c>
      <c r="C71" s="28" t="s">
        <v>363</v>
      </c>
      <c r="D71" s="29" t="s">
        <v>41</v>
      </c>
      <c r="E71" s="25" t="s">
        <v>41</v>
      </c>
      <c r="F71" s="26">
        <v>1</v>
      </c>
    </row>
    <row r="72" spans="1:6" ht="25.95" customHeight="1" x14ac:dyDescent="0.3">
      <c r="A72" s="32">
        <v>29</v>
      </c>
      <c r="B72" s="22" t="s">
        <v>130</v>
      </c>
      <c r="C72" s="22" t="s">
        <v>363</v>
      </c>
      <c r="D72" s="29" t="s">
        <v>41</v>
      </c>
      <c r="E72" s="25" t="s">
        <v>41</v>
      </c>
      <c r="F72" s="26">
        <v>1</v>
      </c>
    </row>
    <row r="73" spans="1:6" ht="25.95" customHeight="1" x14ac:dyDescent="0.3">
      <c r="A73" s="32">
        <v>30</v>
      </c>
      <c r="B73" s="28" t="s">
        <v>131</v>
      </c>
      <c r="C73" s="28" t="s">
        <v>363</v>
      </c>
      <c r="D73" s="29" t="s">
        <v>41</v>
      </c>
      <c r="E73" s="25" t="s">
        <v>41</v>
      </c>
      <c r="F73" s="26">
        <v>1</v>
      </c>
    </row>
    <row r="74" spans="1:6" ht="25.95" customHeight="1" x14ac:dyDescent="0.3">
      <c r="A74" s="32">
        <v>31</v>
      </c>
      <c r="B74" s="22" t="s">
        <v>132</v>
      </c>
      <c r="C74" s="22" t="s">
        <v>363</v>
      </c>
      <c r="D74" s="29" t="s">
        <v>41</v>
      </c>
      <c r="E74" s="25" t="s">
        <v>41</v>
      </c>
      <c r="F74" s="26">
        <v>1</v>
      </c>
    </row>
    <row r="75" spans="1:6" ht="25.95" customHeight="1" x14ac:dyDescent="0.3">
      <c r="A75" s="32">
        <v>32</v>
      </c>
      <c r="B75" s="28" t="s">
        <v>133</v>
      </c>
      <c r="C75" s="28" t="s">
        <v>363</v>
      </c>
      <c r="D75" s="29" t="s">
        <v>41</v>
      </c>
      <c r="E75" s="25" t="s">
        <v>41</v>
      </c>
      <c r="F75" s="26">
        <v>1</v>
      </c>
    </row>
    <row r="76" spans="1:6" ht="25.95" customHeight="1" x14ac:dyDescent="0.3">
      <c r="A76" s="32">
        <v>33</v>
      </c>
      <c r="B76" s="22" t="s">
        <v>134</v>
      </c>
      <c r="C76" s="22" t="s">
        <v>363</v>
      </c>
      <c r="D76" s="29" t="s">
        <v>41</v>
      </c>
      <c r="E76" s="25" t="s">
        <v>41</v>
      </c>
      <c r="F76" s="26">
        <v>1</v>
      </c>
    </row>
    <row r="77" spans="1:6" ht="25.95" customHeight="1" x14ac:dyDescent="0.3">
      <c r="A77" s="32">
        <v>34</v>
      </c>
      <c r="B77" s="28" t="s">
        <v>135</v>
      </c>
      <c r="C77" s="28" t="s">
        <v>363</v>
      </c>
      <c r="D77" s="29" t="s">
        <v>41</v>
      </c>
      <c r="E77" s="25" t="s">
        <v>41</v>
      </c>
      <c r="F77" s="26">
        <v>1</v>
      </c>
    </row>
    <row r="78" spans="1:6" ht="25.95" customHeight="1" x14ac:dyDescent="0.3">
      <c r="A78" s="32">
        <v>35</v>
      </c>
      <c r="B78" s="22" t="s">
        <v>136</v>
      </c>
      <c r="C78" s="22" t="s">
        <v>363</v>
      </c>
      <c r="D78" s="29" t="s">
        <v>41</v>
      </c>
      <c r="E78" s="25" t="s">
        <v>41</v>
      </c>
      <c r="F78" s="26">
        <v>1</v>
      </c>
    </row>
    <row r="79" spans="1:6" ht="25.95" customHeight="1" x14ac:dyDescent="0.3">
      <c r="A79" s="32">
        <v>36</v>
      </c>
      <c r="B79" s="28" t="s">
        <v>137</v>
      </c>
      <c r="C79" s="28" t="s">
        <v>363</v>
      </c>
      <c r="D79" s="29" t="s">
        <v>41</v>
      </c>
      <c r="E79" s="25" t="s">
        <v>41</v>
      </c>
      <c r="F79" s="26">
        <v>1</v>
      </c>
    </row>
    <row r="80" spans="1:6" ht="25.95" customHeight="1" x14ac:dyDescent="0.3">
      <c r="A80" s="32">
        <v>37</v>
      </c>
      <c r="B80" s="22" t="s">
        <v>138</v>
      </c>
      <c r="C80" s="22" t="s">
        <v>363</v>
      </c>
      <c r="D80" s="29" t="s">
        <v>41</v>
      </c>
      <c r="E80" s="25" t="s">
        <v>41</v>
      </c>
      <c r="F80" s="26">
        <v>1</v>
      </c>
    </row>
    <row r="81" spans="1:6" ht="25.95" customHeight="1" x14ac:dyDescent="0.3">
      <c r="A81" s="32">
        <v>38</v>
      </c>
      <c r="B81" s="28" t="s">
        <v>139</v>
      </c>
      <c r="C81" s="28" t="s">
        <v>363</v>
      </c>
      <c r="D81" s="29" t="s">
        <v>41</v>
      </c>
      <c r="E81" s="25" t="s">
        <v>41</v>
      </c>
      <c r="F81" s="26">
        <v>1</v>
      </c>
    </row>
    <row r="82" spans="1:6" ht="25.95" customHeight="1" x14ac:dyDescent="0.3">
      <c r="A82" s="32">
        <v>39</v>
      </c>
      <c r="B82" s="22" t="s">
        <v>140</v>
      </c>
      <c r="C82" s="22" t="s">
        <v>363</v>
      </c>
      <c r="D82" s="29" t="s">
        <v>41</v>
      </c>
      <c r="E82" s="25" t="s">
        <v>41</v>
      </c>
      <c r="F82" s="26">
        <v>1</v>
      </c>
    </row>
    <row r="83" spans="1:6" ht="25.95" customHeight="1" x14ac:dyDescent="0.3">
      <c r="A83" s="32">
        <v>40</v>
      </c>
      <c r="B83" s="28" t="s">
        <v>141</v>
      </c>
      <c r="C83" s="28" t="s">
        <v>363</v>
      </c>
      <c r="D83" s="29" t="s">
        <v>41</v>
      </c>
      <c r="E83" s="25" t="s">
        <v>41</v>
      </c>
      <c r="F83" s="26">
        <v>1</v>
      </c>
    </row>
    <row r="84" spans="1:6" ht="25.95" customHeight="1" x14ac:dyDescent="0.3">
      <c r="A84" s="32">
        <v>41</v>
      </c>
      <c r="B84" s="22" t="s">
        <v>142</v>
      </c>
      <c r="C84" s="22" t="s">
        <v>363</v>
      </c>
      <c r="D84" s="29" t="s">
        <v>41</v>
      </c>
      <c r="E84" s="25" t="s">
        <v>41</v>
      </c>
      <c r="F84" s="26">
        <v>1</v>
      </c>
    </row>
    <row r="85" spans="1:6" ht="25.95" customHeight="1" x14ac:dyDescent="0.3">
      <c r="A85" s="32">
        <v>42</v>
      </c>
      <c r="B85" s="28" t="s">
        <v>143</v>
      </c>
      <c r="C85" s="28" t="s">
        <v>363</v>
      </c>
      <c r="D85" s="29" t="s">
        <v>41</v>
      </c>
      <c r="E85" s="25" t="s">
        <v>41</v>
      </c>
      <c r="F85" s="26">
        <v>1</v>
      </c>
    </row>
    <row r="86" spans="1:6" ht="25.95" customHeight="1" x14ac:dyDescent="0.3">
      <c r="A86" s="32">
        <v>43</v>
      </c>
      <c r="B86" s="22" t="s">
        <v>144</v>
      </c>
      <c r="C86" s="22" t="s">
        <v>363</v>
      </c>
      <c r="D86" s="29" t="s">
        <v>41</v>
      </c>
      <c r="E86" s="25" t="s">
        <v>41</v>
      </c>
      <c r="F86" s="26">
        <v>1</v>
      </c>
    </row>
    <row r="87" spans="1:6" ht="25.95" customHeight="1" x14ac:dyDescent="0.3">
      <c r="A87" s="32">
        <v>44</v>
      </c>
      <c r="B87" s="28" t="s">
        <v>145</v>
      </c>
      <c r="C87" s="28" t="s">
        <v>363</v>
      </c>
      <c r="D87" s="29" t="s">
        <v>41</v>
      </c>
      <c r="E87" s="25" t="s">
        <v>41</v>
      </c>
      <c r="F87" s="26">
        <v>1</v>
      </c>
    </row>
    <row r="88" spans="1:6" ht="25.95" customHeight="1" x14ac:dyDescent="0.3">
      <c r="A88" s="32">
        <v>45</v>
      </c>
      <c r="B88" s="22" t="s">
        <v>146</v>
      </c>
      <c r="C88" s="22" t="s">
        <v>363</v>
      </c>
      <c r="D88" s="29" t="s">
        <v>41</v>
      </c>
      <c r="E88" s="25" t="s">
        <v>41</v>
      </c>
      <c r="F88" s="26">
        <v>1</v>
      </c>
    </row>
    <row r="89" spans="1:6" ht="25.95" customHeight="1" x14ac:dyDescent="0.3">
      <c r="A89" s="32">
        <v>46</v>
      </c>
      <c r="B89" s="28" t="s">
        <v>147</v>
      </c>
      <c r="C89" s="28" t="s">
        <v>363</v>
      </c>
      <c r="D89" s="29" t="s">
        <v>41</v>
      </c>
      <c r="E89" s="25" t="s">
        <v>41</v>
      </c>
      <c r="F89" s="26">
        <v>1</v>
      </c>
    </row>
    <row r="90" spans="1:6" ht="25.95" customHeight="1" x14ac:dyDescent="0.3">
      <c r="A90" s="32">
        <v>47</v>
      </c>
      <c r="B90" s="22" t="s">
        <v>148</v>
      </c>
      <c r="C90" s="22" t="s">
        <v>363</v>
      </c>
      <c r="D90" s="29" t="s">
        <v>41</v>
      </c>
      <c r="E90" s="25" t="s">
        <v>41</v>
      </c>
      <c r="F90" s="26">
        <v>1</v>
      </c>
    </row>
    <row r="91" spans="1:6" ht="25.95" customHeight="1" x14ac:dyDescent="0.3">
      <c r="A91" s="32">
        <v>48</v>
      </c>
      <c r="B91" s="28" t="s">
        <v>149</v>
      </c>
      <c r="C91" s="28" t="s">
        <v>363</v>
      </c>
      <c r="D91" s="29" t="s">
        <v>41</v>
      </c>
      <c r="E91" s="25" t="s">
        <v>41</v>
      </c>
      <c r="F91" s="26">
        <v>1</v>
      </c>
    </row>
    <row r="92" spans="1:6" ht="25.95" customHeight="1" x14ac:dyDescent="0.3">
      <c r="A92" s="32">
        <v>49</v>
      </c>
      <c r="B92" s="22" t="s">
        <v>150</v>
      </c>
      <c r="C92" s="22" t="s">
        <v>363</v>
      </c>
      <c r="D92" s="29" t="s">
        <v>41</v>
      </c>
      <c r="E92" s="25" t="s">
        <v>41</v>
      </c>
      <c r="F92" s="26">
        <v>1</v>
      </c>
    </row>
    <row r="93" spans="1:6" ht="25.95" customHeight="1" x14ac:dyDescent="0.3">
      <c r="A93" s="32">
        <v>50</v>
      </c>
      <c r="B93" s="28" t="s">
        <v>151</v>
      </c>
      <c r="C93" s="28" t="s">
        <v>363</v>
      </c>
      <c r="D93" s="29" t="s">
        <v>41</v>
      </c>
      <c r="E93" s="25" t="s">
        <v>41</v>
      </c>
      <c r="F93" s="26">
        <v>1</v>
      </c>
    </row>
    <row r="94" spans="1:6" ht="25.95" customHeight="1" x14ac:dyDescent="0.3">
      <c r="A94" s="32">
        <v>51</v>
      </c>
      <c r="B94" s="22" t="s">
        <v>152</v>
      </c>
      <c r="C94" s="22" t="s">
        <v>363</v>
      </c>
      <c r="D94" s="29" t="s">
        <v>41</v>
      </c>
      <c r="E94" s="25" t="s">
        <v>41</v>
      </c>
      <c r="F94" s="26">
        <v>1</v>
      </c>
    </row>
    <row r="95" spans="1:6" ht="25.95" customHeight="1" x14ac:dyDescent="0.3">
      <c r="A95" s="32">
        <v>52</v>
      </c>
      <c r="B95" s="28" t="s">
        <v>153</v>
      </c>
      <c r="C95" s="28" t="s">
        <v>363</v>
      </c>
      <c r="D95" s="29" t="s">
        <v>41</v>
      </c>
      <c r="E95" s="25" t="s">
        <v>41</v>
      </c>
      <c r="F95" s="26">
        <v>1</v>
      </c>
    </row>
    <row r="96" spans="1:6" ht="25.95" customHeight="1" x14ac:dyDescent="0.3">
      <c r="A96" s="32">
        <v>53</v>
      </c>
      <c r="B96" s="22" t="s">
        <v>154</v>
      </c>
      <c r="C96" s="22" t="s">
        <v>363</v>
      </c>
      <c r="D96" s="29" t="s">
        <v>41</v>
      </c>
      <c r="E96" s="25" t="s">
        <v>41</v>
      </c>
      <c r="F96" s="26">
        <v>1</v>
      </c>
    </row>
    <row r="97" spans="1:6" ht="25.95" customHeight="1" x14ac:dyDescent="0.3">
      <c r="A97" s="32">
        <v>54</v>
      </c>
      <c r="B97" s="28" t="s">
        <v>155</v>
      </c>
      <c r="C97" s="28" t="s">
        <v>363</v>
      </c>
      <c r="D97" s="29" t="s">
        <v>41</v>
      </c>
      <c r="E97" s="25" t="s">
        <v>41</v>
      </c>
      <c r="F97" s="26">
        <v>1</v>
      </c>
    </row>
    <row r="98" spans="1:6" ht="25.95" customHeight="1" x14ac:dyDescent="0.3">
      <c r="A98" s="32">
        <v>55</v>
      </c>
      <c r="B98" s="22" t="s">
        <v>156</v>
      </c>
      <c r="C98" s="22" t="s">
        <v>363</v>
      </c>
      <c r="D98" s="29" t="s">
        <v>41</v>
      </c>
      <c r="E98" s="25" t="s">
        <v>41</v>
      </c>
      <c r="F98" s="26">
        <v>1</v>
      </c>
    </row>
    <row r="99" spans="1:6" ht="7.95" customHeight="1" x14ac:dyDescent="0.3"/>
    <row r="101" spans="1:6" ht="24" customHeight="1" x14ac:dyDescent="0.3">
      <c r="A101" s="66" t="s">
        <v>364</v>
      </c>
      <c r="B101" s="52"/>
      <c r="C101" s="52"/>
      <c r="D101" s="52"/>
      <c r="E101" s="52"/>
      <c r="F101" s="52"/>
    </row>
    <row r="102" spans="1:6" ht="24" customHeight="1" x14ac:dyDescent="0.3">
      <c r="A102" s="39" t="s">
        <v>25</v>
      </c>
      <c r="B102" s="39" t="s">
        <v>26</v>
      </c>
      <c r="C102" s="39" t="s">
        <v>356</v>
      </c>
      <c r="D102" s="39" t="s">
        <v>28</v>
      </c>
      <c r="E102" s="39" t="s">
        <v>357</v>
      </c>
      <c r="F102" s="39" t="s">
        <v>31</v>
      </c>
    </row>
    <row r="103" spans="1:6" ht="25.95" customHeight="1" x14ac:dyDescent="0.3">
      <c r="A103" s="34">
        <v>1</v>
      </c>
      <c r="B103" s="22" t="s">
        <v>159</v>
      </c>
      <c r="C103" s="22" t="s">
        <v>9</v>
      </c>
      <c r="D103" s="31" t="s">
        <v>9</v>
      </c>
      <c r="E103" s="25" t="s">
        <v>365</v>
      </c>
      <c r="F103" s="26">
        <v>4</v>
      </c>
    </row>
    <row r="104" spans="1:6" ht="25.95" customHeight="1" x14ac:dyDescent="0.3">
      <c r="A104" s="34">
        <v>2</v>
      </c>
      <c r="B104" s="28" t="s">
        <v>160</v>
      </c>
      <c r="C104" s="28" t="s">
        <v>9</v>
      </c>
      <c r="D104" s="31" t="s">
        <v>9</v>
      </c>
      <c r="E104" s="25" t="s">
        <v>359</v>
      </c>
      <c r="F104" s="26">
        <v>3</v>
      </c>
    </row>
    <row r="105" spans="1:6" ht="25.95" customHeight="1" x14ac:dyDescent="0.3">
      <c r="A105" s="34">
        <v>3</v>
      </c>
      <c r="B105" s="22" t="s">
        <v>161</v>
      </c>
      <c r="C105" s="22" t="s">
        <v>9</v>
      </c>
      <c r="D105" s="31" t="s">
        <v>9</v>
      </c>
      <c r="E105" s="25" t="s">
        <v>359</v>
      </c>
      <c r="F105" s="26">
        <v>3</v>
      </c>
    </row>
    <row r="106" spans="1:6" ht="25.95" customHeight="1" x14ac:dyDescent="0.3">
      <c r="A106" s="34">
        <v>4</v>
      </c>
      <c r="B106" s="28" t="s">
        <v>162</v>
      </c>
      <c r="C106" s="28" t="s">
        <v>9</v>
      </c>
      <c r="D106" s="31" t="s">
        <v>9</v>
      </c>
      <c r="E106" s="25" t="s">
        <v>239</v>
      </c>
      <c r="F106" s="26">
        <v>2</v>
      </c>
    </row>
    <row r="107" spans="1:6" ht="25.95" customHeight="1" x14ac:dyDescent="0.3">
      <c r="A107" s="34">
        <v>5</v>
      </c>
      <c r="B107" s="22" t="s">
        <v>163</v>
      </c>
      <c r="C107" s="22" t="s">
        <v>9</v>
      </c>
      <c r="D107" s="31" t="s">
        <v>9</v>
      </c>
      <c r="E107" s="25" t="s">
        <v>239</v>
      </c>
      <c r="F107" s="26">
        <v>2</v>
      </c>
    </row>
    <row r="108" spans="1:6" ht="25.95" customHeight="1" x14ac:dyDescent="0.3">
      <c r="A108" s="34">
        <v>6</v>
      </c>
      <c r="B108" s="28" t="s">
        <v>164</v>
      </c>
      <c r="C108" s="28" t="s">
        <v>9</v>
      </c>
      <c r="D108" s="31" t="s">
        <v>9</v>
      </c>
      <c r="E108" s="25" t="s">
        <v>365</v>
      </c>
      <c r="F108" s="26">
        <v>4</v>
      </c>
    </row>
    <row r="109" spans="1:6" ht="25.95" customHeight="1" x14ac:dyDescent="0.3">
      <c r="A109" s="34">
        <v>7</v>
      </c>
      <c r="B109" s="22" t="s">
        <v>165</v>
      </c>
      <c r="C109" s="22" t="s">
        <v>9</v>
      </c>
      <c r="D109" s="31" t="s">
        <v>9</v>
      </c>
      <c r="E109" s="25" t="s">
        <v>359</v>
      </c>
      <c r="F109" s="26">
        <v>3</v>
      </c>
    </row>
    <row r="110" spans="1:6" ht="25.95" customHeight="1" x14ac:dyDescent="0.3">
      <c r="A110" s="34">
        <v>8</v>
      </c>
      <c r="B110" s="28" t="s">
        <v>166</v>
      </c>
      <c r="C110" s="28" t="s">
        <v>9</v>
      </c>
      <c r="D110" s="31" t="s">
        <v>9</v>
      </c>
      <c r="E110" s="25" t="s">
        <v>366</v>
      </c>
      <c r="F110" s="26">
        <v>2</v>
      </c>
    </row>
    <row r="111" spans="1:6" ht="25.95" customHeight="1" x14ac:dyDescent="0.3">
      <c r="A111" s="34">
        <v>9</v>
      </c>
      <c r="B111" s="22" t="s">
        <v>168</v>
      </c>
      <c r="C111" s="22" t="s">
        <v>9</v>
      </c>
      <c r="D111" s="31" t="s">
        <v>9</v>
      </c>
      <c r="E111" s="25" t="s">
        <v>367</v>
      </c>
      <c r="F111" s="26">
        <v>2</v>
      </c>
    </row>
    <row r="112" spans="1:6" ht="25.95" customHeight="1" x14ac:dyDescent="0.3">
      <c r="A112" s="34">
        <v>10</v>
      </c>
      <c r="B112" s="28" t="s">
        <v>169</v>
      </c>
      <c r="C112" s="28" t="s">
        <v>9</v>
      </c>
      <c r="D112" s="31" t="s">
        <v>9</v>
      </c>
      <c r="E112" s="25" t="s">
        <v>368</v>
      </c>
      <c r="F112" s="26">
        <v>4</v>
      </c>
    </row>
    <row r="113" spans="1:6" ht="25.95" customHeight="1" x14ac:dyDescent="0.3">
      <c r="A113" s="34">
        <v>11</v>
      </c>
      <c r="B113" s="22" t="s">
        <v>171</v>
      </c>
      <c r="C113" s="22" t="s">
        <v>9</v>
      </c>
      <c r="D113" s="31" t="s">
        <v>9</v>
      </c>
      <c r="E113" s="25" t="s">
        <v>367</v>
      </c>
      <c r="F113" s="26">
        <v>2</v>
      </c>
    </row>
    <row r="114" spans="1:6" ht="25.95" customHeight="1" x14ac:dyDescent="0.3">
      <c r="A114" s="34">
        <v>12</v>
      </c>
      <c r="B114" s="28" t="s">
        <v>172</v>
      </c>
      <c r="C114" s="28" t="s">
        <v>9</v>
      </c>
      <c r="D114" s="31" t="s">
        <v>9</v>
      </c>
      <c r="E114" s="25" t="s">
        <v>239</v>
      </c>
      <c r="F114" s="26">
        <v>2</v>
      </c>
    </row>
    <row r="115" spans="1:6" ht="25.95" customHeight="1" x14ac:dyDescent="0.3">
      <c r="A115" s="34">
        <v>13</v>
      </c>
      <c r="B115" s="22" t="s">
        <v>173</v>
      </c>
      <c r="C115" s="22" t="s">
        <v>9</v>
      </c>
      <c r="D115" s="31" t="s">
        <v>9</v>
      </c>
      <c r="E115" s="25" t="s">
        <v>359</v>
      </c>
      <c r="F115" s="26">
        <v>3</v>
      </c>
    </row>
    <row r="116" spans="1:6" ht="25.95" customHeight="1" x14ac:dyDescent="0.3">
      <c r="A116" s="34">
        <v>14</v>
      </c>
      <c r="B116" s="28" t="s">
        <v>174</v>
      </c>
      <c r="C116" s="28" t="s">
        <v>9</v>
      </c>
      <c r="D116" s="31" t="s">
        <v>9</v>
      </c>
      <c r="E116" s="25" t="s">
        <v>367</v>
      </c>
      <c r="F116" s="26">
        <v>2</v>
      </c>
    </row>
    <row r="117" spans="1:6" ht="25.95" customHeight="1" x14ac:dyDescent="0.3">
      <c r="A117" s="34">
        <v>15</v>
      </c>
      <c r="B117" s="22" t="s">
        <v>175</v>
      </c>
      <c r="C117" s="22" t="s">
        <v>9</v>
      </c>
      <c r="D117" s="31" t="s">
        <v>9</v>
      </c>
      <c r="E117" s="25" t="s">
        <v>239</v>
      </c>
      <c r="F117" s="26">
        <v>2</v>
      </c>
    </row>
    <row r="118" spans="1:6" ht="25.95" customHeight="1" x14ac:dyDescent="0.3">
      <c r="A118" s="34">
        <v>16</v>
      </c>
      <c r="B118" s="28" t="s">
        <v>176</v>
      </c>
      <c r="C118" s="28" t="s">
        <v>9</v>
      </c>
      <c r="D118" s="31" t="s">
        <v>9</v>
      </c>
      <c r="E118" s="25" t="s">
        <v>369</v>
      </c>
      <c r="F118" s="26">
        <v>2</v>
      </c>
    </row>
    <row r="119" spans="1:6" ht="25.95" customHeight="1" x14ac:dyDescent="0.3">
      <c r="A119" s="34">
        <v>17</v>
      </c>
      <c r="B119" s="22" t="s">
        <v>178</v>
      </c>
      <c r="C119" s="22" t="s">
        <v>9</v>
      </c>
      <c r="D119" s="31" t="s">
        <v>9</v>
      </c>
      <c r="E119" s="25" t="s">
        <v>370</v>
      </c>
      <c r="F119" s="26">
        <v>3</v>
      </c>
    </row>
    <row r="120" spans="1:6" ht="25.95" customHeight="1" x14ac:dyDescent="0.3">
      <c r="A120" s="34">
        <v>18</v>
      </c>
      <c r="B120" s="28" t="s">
        <v>180</v>
      </c>
      <c r="C120" s="28" t="s">
        <v>9</v>
      </c>
      <c r="D120" s="31" t="s">
        <v>9</v>
      </c>
      <c r="E120" s="25" t="s">
        <v>360</v>
      </c>
      <c r="F120" s="26">
        <v>3</v>
      </c>
    </row>
    <row r="121" spans="1:6" ht="25.95" customHeight="1" x14ac:dyDescent="0.3">
      <c r="A121" s="34">
        <v>19</v>
      </c>
      <c r="B121" s="22" t="s">
        <v>181</v>
      </c>
      <c r="C121" s="22" t="s">
        <v>9</v>
      </c>
      <c r="D121" s="31" t="s">
        <v>9</v>
      </c>
      <c r="E121" s="25" t="s">
        <v>371</v>
      </c>
      <c r="F121" s="26">
        <v>4</v>
      </c>
    </row>
    <row r="122" spans="1:6" ht="25.95" customHeight="1" x14ac:dyDescent="0.3">
      <c r="A122" s="34">
        <v>20</v>
      </c>
      <c r="B122" s="28" t="s">
        <v>183</v>
      </c>
      <c r="C122" s="28" t="s">
        <v>9</v>
      </c>
      <c r="D122" s="31" t="s">
        <v>9</v>
      </c>
      <c r="E122" s="25" t="s">
        <v>372</v>
      </c>
      <c r="F122" s="26">
        <v>3</v>
      </c>
    </row>
    <row r="123" spans="1:6" ht="25.95" customHeight="1" x14ac:dyDescent="0.3">
      <c r="A123" s="34">
        <v>21</v>
      </c>
      <c r="B123" s="22" t="s">
        <v>185</v>
      </c>
      <c r="C123" s="22" t="s">
        <v>9</v>
      </c>
      <c r="D123" s="31" t="s">
        <v>9</v>
      </c>
      <c r="E123" s="25" t="s">
        <v>373</v>
      </c>
      <c r="F123" s="26">
        <v>3</v>
      </c>
    </row>
    <row r="124" spans="1:6" ht="25.95" customHeight="1" x14ac:dyDescent="0.3">
      <c r="A124" s="34">
        <v>22</v>
      </c>
      <c r="B124" s="28" t="s">
        <v>187</v>
      </c>
      <c r="C124" s="28" t="s">
        <v>9</v>
      </c>
      <c r="D124" s="31" t="s">
        <v>9</v>
      </c>
      <c r="E124" s="25" t="s">
        <v>369</v>
      </c>
      <c r="F124" s="26">
        <v>2</v>
      </c>
    </row>
    <row r="125" spans="1:6" ht="7.95" customHeight="1" x14ac:dyDescent="0.3"/>
    <row r="127" spans="1:6" ht="24" customHeight="1" x14ac:dyDescent="0.3">
      <c r="A127" s="65" t="s">
        <v>374</v>
      </c>
      <c r="B127" s="52"/>
      <c r="C127" s="52"/>
      <c r="D127" s="52"/>
      <c r="E127" s="52"/>
      <c r="F127" s="52"/>
    </row>
    <row r="128" spans="1:6" ht="24" customHeight="1" x14ac:dyDescent="0.3">
      <c r="A128" s="39" t="s">
        <v>25</v>
      </c>
      <c r="B128" s="39" t="s">
        <v>26</v>
      </c>
      <c r="C128" s="39" t="s">
        <v>356</v>
      </c>
      <c r="D128" s="39" t="s">
        <v>28</v>
      </c>
      <c r="E128" s="39" t="s">
        <v>357</v>
      </c>
      <c r="F128" s="39" t="s">
        <v>31</v>
      </c>
    </row>
    <row r="129" spans="1:6" ht="25.95" customHeight="1" x14ac:dyDescent="0.3">
      <c r="A129" s="36">
        <v>1</v>
      </c>
      <c r="B129" s="22" t="s">
        <v>190</v>
      </c>
      <c r="C129" s="22" t="s">
        <v>375</v>
      </c>
      <c r="D129" s="24" t="s">
        <v>36</v>
      </c>
      <c r="E129" s="25" t="s">
        <v>61</v>
      </c>
      <c r="F129" s="26">
        <v>2</v>
      </c>
    </row>
    <row r="130" spans="1:6" ht="25.95" customHeight="1" x14ac:dyDescent="0.3">
      <c r="A130" s="36">
        <v>2</v>
      </c>
      <c r="B130" s="28" t="s">
        <v>191</v>
      </c>
      <c r="C130" s="28" t="s">
        <v>375</v>
      </c>
      <c r="D130" s="24" t="s">
        <v>36</v>
      </c>
      <c r="E130" s="25" t="s">
        <v>61</v>
      </c>
      <c r="F130" s="26">
        <v>2</v>
      </c>
    </row>
    <row r="131" spans="1:6" ht="25.95" customHeight="1" x14ac:dyDescent="0.3">
      <c r="A131" s="36">
        <v>3</v>
      </c>
      <c r="B131" s="22" t="s">
        <v>192</v>
      </c>
      <c r="C131" s="22" t="s">
        <v>375</v>
      </c>
      <c r="D131" s="24" t="s">
        <v>36</v>
      </c>
      <c r="E131" s="25" t="s">
        <v>61</v>
      </c>
      <c r="F131" s="26">
        <v>2</v>
      </c>
    </row>
    <row r="132" spans="1:6" ht="25.95" customHeight="1" x14ac:dyDescent="0.3">
      <c r="A132" s="36">
        <v>4</v>
      </c>
      <c r="B132" s="28" t="s">
        <v>193</v>
      </c>
      <c r="C132" s="28" t="s">
        <v>376</v>
      </c>
      <c r="D132" s="24" t="s">
        <v>36</v>
      </c>
      <c r="E132" s="25" t="s">
        <v>88</v>
      </c>
      <c r="F132" s="26">
        <v>3</v>
      </c>
    </row>
    <row r="133" spans="1:6" ht="25.95" customHeight="1" x14ac:dyDescent="0.3">
      <c r="A133" s="36">
        <v>5</v>
      </c>
      <c r="B133" s="22" t="s">
        <v>194</v>
      </c>
      <c r="C133" s="22" t="s">
        <v>375</v>
      </c>
      <c r="D133" s="24" t="s">
        <v>36</v>
      </c>
      <c r="E133" s="25" t="s">
        <v>61</v>
      </c>
      <c r="F133" s="26">
        <v>2</v>
      </c>
    </row>
    <row r="134" spans="1:6" ht="25.95" customHeight="1" x14ac:dyDescent="0.3">
      <c r="A134" s="36">
        <v>6</v>
      </c>
      <c r="B134" s="28" t="s">
        <v>195</v>
      </c>
      <c r="C134" s="28" t="s">
        <v>377</v>
      </c>
      <c r="D134" s="24" t="s">
        <v>36</v>
      </c>
      <c r="E134" s="25" t="s">
        <v>55</v>
      </c>
      <c r="F134" s="26">
        <v>6</v>
      </c>
    </row>
    <row r="135" spans="1:6" ht="25.95" customHeight="1" x14ac:dyDescent="0.3">
      <c r="A135" s="36">
        <v>7</v>
      </c>
      <c r="B135" s="22" t="s">
        <v>196</v>
      </c>
      <c r="C135" s="22" t="s">
        <v>376</v>
      </c>
      <c r="D135" s="24" t="s">
        <v>36</v>
      </c>
      <c r="E135" s="25" t="s">
        <v>59</v>
      </c>
      <c r="F135" s="26">
        <v>3</v>
      </c>
    </row>
    <row r="136" spans="1:6" ht="25.95" customHeight="1" x14ac:dyDescent="0.3">
      <c r="A136" s="36">
        <v>8</v>
      </c>
      <c r="B136" s="28" t="s">
        <v>197</v>
      </c>
      <c r="C136" s="28" t="s">
        <v>378</v>
      </c>
      <c r="D136" s="24" t="s">
        <v>36</v>
      </c>
      <c r="E136" s="25" t="s">
        <v>198</v>
      </c>
      <c r="F136" s="26">
        <v>4</v>
      </c>
    </row>
    <row r="137" spans="1:6" ht="25.95" customHeight="1" x14ac:dyDescent="0.3">
      <c r="A137" s="36">
        <v>9</v>
      </c>
      <c r="B137" s="22" t="s">
        <v>199</v>
      </c>
      <c r="C137" s="22" t="s">
        <v>375</v>
      </c>
      <c r="D137" s="24" t="s">
        <v>36</v>
      </c>
      <c r="E137" s="25" t="s">
        <v>61</v>
      </c>
      <c r="F137" s="26">
        <v>2</v>
      </c>
    </row>
    <row r="138" spans="1:6" ht="25.95" customHeight="1" x14ac:dyDescent="0.3">
      <c r="A138" s="36">
        <v>10</v>
      </c>
      <c r="B138" s="28" t="s">
        <v>200</v>
      </c>
      <c r="C138" s="28" t="s">
        <v>376</v>
      </c>
      <c r="D138" s="24" t="s">
        <v>36</v>
      </c>
      <c r="E138" s="25" t="s">
        <v>201</v>
      </c>
      <c r="F138" s="26">
        <v>3</v>
      </c>
    </row>
    <row r="139" spans="1:6" ht="25.95" customHeight="1" x14ac:dyDescent="0.3">
      <c r="A139" s="36">
        <v>11</v>
      </c>
      <c r="B139" s="22" t="s">
        <v>202</v>
      </c>
      <c r="C139" s="22" t="s">
        <v>375</v>
      </c>
      <c r="D139" s="24" t="s">
        <v>36</v>
      </c>
      <c r="E139" s="25" t="s">
        <v>61</v>
      </c>
      <c r="F139" s="26">
        <v>2</v>
      </c>
    </row>
    <row r="140" spans="1:6" ht="25.95" customHeight="1" x14ac:dyDescent="0.3">
      <c r="A140" s="36">
        <v>12</v>
      </c>
      <c r="B140" s="28" t="s">
        <v>203</v>
      </c>
      <c r="C140" s="28" t="s">
        <v>376</v>
      </c>
      <c r="D140" s="24" t="s">
        <v>36</v>
      </c>
      <c r="E140" s="25" t="s">
        <v>204</v>
      </c>
      <c r="F140" s="26">
        <v>3</v>
      </c>
    </row>
    <row r="141" spans="1:6" ht="25.95" customHeight="1" x14ac:dyDescent="0.3">
      <c r="A141" s="36">
        <v>13</v>
      </c>
      <c r="B141" s="22" t="s">
        <v>205</v>
      </c>
      <c r="C141" s="22" t="s">
        <v>379</v>
      </c>
      <c r="D141" s="24" t="s">
        <v>36</v>
      </c>
      <c r="E141" s="25" t="s">
        <v>206</v>
      </c>
      <c r="F141" s="26">
        <v>5</v>
      </c>
    </row>
    <row r="142" spans="1:6" ht="25.95" customHeight="1" x14ac:dyDescent="0.3">
      <c r="A142" s="36">
        <v>14</v>
      </c>
      <c r="B142" s="28" t="s">
        <v>207</v>
      </c>
      <c r="C142" s="28" t="s">
        <v>375</v>
      </c>
      <c r="D142" s="24" t="s">
        <v>36</v>
      </c>
      <c r="E142" s="25" t="s">
        <v>184</v>
      </c>
      <c r="F142" s="26">
        <v>2</v>
      </c>
    </row>
    <row r="143" spans="1:6" ht="25.95" customHeight="1" x14ac:dyDescent="0.3">
      <c r="A143" s="36">
        <v>15</v>
      </c>
      <c r="B143" s="22" t="s">
        <v>208</v>
      </c>
      <c r="C143" s="22" t="s">
        <v>375</v>
      </c>
      <c r="D143" s="24" t="s">
        <v>36</v>
      </c>
      <c r="E143" s="25" t="s">
        <v>79</v>
      </c>
      <c r="F143" s="26">
        <v>2</v>
      </c>
    </row>
    <row r="144" spans="1:6" ht="25.95" customHeight="1" x14ac:dyDescent="0.3">
      <c r="A144" s="36">
        <v>16</v>
      </c>
      <c r="B144" s="28" t="s">
        <v>209</v>
      </c>
      <c r="C144" s="28" t="s">
        <v>375</v>
      </c>
      <c r="D144" s="24" t="s">
        <v>36</v>
      </c>
      <c r="E144" s="25" t="s">
        <v>61</v>
      </c>
      <c r="F144" s="26">
        <v>2</v>
      </c>
    </row>
    <row r="145" spans="1:6" ht="25.95" customHeight="1" x14ac:dyDescent="0.3">
      <c r="A145" s="36">
        <v>17</v>
      </c>
      <c r="B145" s="22" t="s">
        <v>210</v>
      </c>
      <c r="C145" s="22" t="s">
        <v>375</v>
      </c>
      <c r="D145" s="24" t="s">
        <v>36</v>
      </c>
      <c r="E145" s="25" t="s">
        <v>61</v>
      </c>
      <c r="F145" s="26">
        <v>2</v>
      </c>
    </row>
    <row r="146" spans="1:6" ht="25.95" customHeight="1" x14ac:dyDescent="0.3">
      <c r="A146" s="36">
        <v>18</v>
      </c>
      <c r="B146" s="28" t="s">
        <v>211</v>
      </c>
      <c r="C146" s="28" t="s">
        <v>378</v>
      </c>
      <c r="D146" s="24" t="s">
        <v>36</v>
      </c>
      <c r="E146" s="25" t="s">
        <v>212</v>
      </c>
      <c r="F146" s="26">
        <v>4</v>
      </c>
    </row>
    <row r="147" spans="1:6" ht="25.95" customHeight="1" x14ac:dyDescent="0.3">
      <c r="A147" s="36">
        <v>19</v>
      </c>
      <c r="B147" s="22" t="s">
        <v>213</v>
      </c>
      <c r="C147" s="22" t="s">
        <v>375</v>
      </c>
      <c r="D147" s="24" t="s">
        <v>36</v>
      </c>
      <c r="E147" s="25" t="s">
        <v>61</v>
      </c>
      <c r="F147" s="26">
        <v>2</v>
      </c>
    </row>
    <row r="148" spans="1:6" ht="25.95" customHeight="1" x14ac:dyDescent="0.3">
      <c r="A148" s="36">
        <v>20</v>
      </c>
      <c r="B148" s="28" t="s">
        <v>214</v>
      </c>
      <c r="C148" s="28" t="s">
        <v>375</v>
      </c>
      <c r="D148" s="24" t="s">
        <v>36</v>
      </c>
      <c r="E148" s="25" t="s">
        <v>79</v>
      </c>
      <c r="F148" s="26">
        <v>2</v>
      </c>
    </row>
    <row r="149" spans="1:6" ht="25.95" customHeight="1" x14ac:dyDescent="0.3">
      <c r="A149" s="36">
        <v>21</v>
      </c>
      <c r="B149" s="22" t="s">
        <v>215</v>
      </c>
      <c r="C149" s="22" t="s">
        <v>375</v>
      </c>
      <c r="D149" s="24" t="s">
        <v>36</v>
      </c>
      <c r="E149" s="25" t="s">
        <v>184</v>
      </c>
      <c r="F149" s="26">
        <v>2</v>
      </c>
    </row>
    <row r="150" spans="1:6" ht="25.95" customHeight="1" x14ac:dyDescent="0.3">
      <c r="A150" s="36">
        <v>22</v>
      </c>
      <c r="B150" s="28" t="s">
        <v>216</v>
      </c>
      <c r="C150" s="28" t="s">
        <v>375</v>
      </c>
      <c r="D150" s="24" t="s">
        <v>36</v>
      </c>
      <c r="E150" s="25" t="s">
        <v>61</v>
      </c>
      <c r="F150" s="26">
        <v>2</v>
      </c>
    </row>
    <row r="151" spans="1:6" ht="25.95" customHeight="1" x14ac:dyDescent="0.3">
      <c r="A151" s="36">
        <v>23</v>
      </c>
      <c r="B151" s="22" t="s">
        <v>217</v>
      </c>
      <c r="C151" s="22" t="s">
        <v>375</v>
      </c>
      <c r="D151" s="24" t="s">
        <v>36</v>
      </c>
      <c r="E151" s="25" t="s">
        <v>218</v>
      </c>
      <c r="F151" s="26">
        <v>2</v>
      </c>
    </row>
    <row r="152" spans="1:6" ht="25.95" customHeight="1" x14ac:dyDescent="0.3">
      <c r="A152" s="36">
        <v>24</v>
      </c>
      <c r="B152" s="28" t="s">
        <v>219</v>
      </c>
      <c r="C152" s="28" t="s">
        <v>375</v>
      </c>
      <c r="D152" s="24" t="s">
        <v>36</v>
      </c>
      <c r="E152" s="25" t="s">
        <v>61</v>
      </c>
      <c r="F152" s="26">
        <v>2</v>
      </c>
    </row>
    <row r="153" spans="1:6" ht="25.95" customHeight="1" x14ac:dyDescent="0.3">
      <c r="A153" s="36">
        <v>25</v>
      </c>
      <c r="B153" s="22" t="s">
        <v>220</v>
      </c>
      <c r="C153" s="22" t="s">
        <v>375</v>
      </c>
      <c r="D153" s="24" t="s">
        <v>36</v>
      </c>
      <c r="E153" s="25" t="s">
        <v>221</v>
      </c>
      <c r="F153" s="26">
        <v>2</v>
      </c>
    </row>
    <row r="154" spans="1:6" ht="25.95" customHeight="1" x14ac:dyDescent="0.3">
      <c r="A154" s="36">
        <v>26</v>
      </c>
      <c r="B154" s="28" t="s">
        <v>222</v>
      </c>
      <c r="C154" s="28" t="s">
        <v>375</v>
      </c>
      <c r="D154" s="24" t="s">
        <v>36</v>
      </c>
      <c r="E154" s="25" t="s">
        <v>223</v>
      </c>
      <c r="F154" s="26">
        <v>2</v>
      </c>
    </row>
    <row r="155" spans="1:6" ht="25.95" customHeight="1" x14ac:dyDescent="0.3">
      <c r="A155" s="36">
        <v>27</v>
      </c>
      <c r="B155" s="22" t="s">
        <v>224</v>
      </c>
      <c r="C155" s="22" t="s">
        <v>375</v>
      </c>
      <c r="D155" s="24" t="s">
        <v>36</v>
      </c>
      <c r="E155" s="25" t="s">
        <v>61</v>
      </c>
      <c r="F155" s="26">
        <v>2</v>
      </c>
    </row>
    <row r="156" spans="1:6" ht="25.95" customHeight="1" x14ac:dyDescent="0.3">
      <c r="A156" s="36">
        <v>28</v>
      </c>
      <c r="B156" s="28" t="s">
        <v>225</v>
      </c>
      <c r="C156" s="28" t="s">
        <v>378</v>
      </c>
      <c r="D156" s="24" t="s">
        <v>36</v>
      </c>
      <c r="E156" s="25" t="s">
        <v>226</v>
      </c>
      <c r="F156" s="26">
        <v>4</v>
      </c>
    </row>
    <row r="157" spans="1:6" ht="25.95" customHeight="1" x14ac:dyDescent="0.3">
      <c r="A157" s="36">
        <v>29</v>
      </c>
      <c r="B157" s="22" t="s">
        <v>227</v>
      </c>
      <c r="C157" s="22" t="s">
        <v>375</v>
      </c>
      <c r="D157" s="24" t="s">
        <v>36</v>
      </c>
      <c r="E157" s="25" t="s">
        <v>79</v>
      </c>
      <c r="F157" s="26">
        <v>2</v>
      </c>
    </row>
    <row r="158" spans="1:6" ht="25.95" customHeight="1" x14ac:dyDescent="0.3">
      <c r="A158" s="36">
        <v>30</v>
      </c>
      <c r="B158" s="28" t="s">
        <v>228</v>
      </c>
      <c r="C158" s="28" t="s">
        <v>375</v>
      </c>
      <c r="D158" s="24" t="s">
        <v>36</v>
      </c>
      <c r="E158" s="25" t="s">
        <v>179</v>
      </c>
      <c r="F158" s="26">
        <v>2</v>
      </c>
    </row>
    <row r="159" spans="1:6" ht="25.95" customHeight="1" x14ac:dyDescent="0.3">
      <c r="A159" s="36">
        <v>31</v>
      </c>
      <c r="B159" s="22" t="s">
        <v>229</v>
      </c>
      <c r="C159" s="22" t="s">
        <v>375</v>
      </c>
      <c r="D159" s="24" t="s">
        <v>36</v>
      </c>
      <c r="E159" s="25" t="s">
        <v>79</v>
      </c>
      <c r="F159" s="26">
        <v>2</v>
      </c>
    </row>
    <row r="160" spans="1:6" ht="25.95" customHeight="1" x14ac:dyDescent="0.3">
      <c r="A160" s="36">
        <v>32</v>
      </c>
      <c r="B160" s="28" t="s">
        <v>230</v>
      </c>
      <c r="C160" s="28" t="s">
        <v>375</v>
      </c>
      <c r="D160" s="24" t="s">
        <v>36</v>
      </c>
      <c r="E160" s="25" t="s">
        <v>61</v>
      </c>
      <c r="F160" s="26">
        <v>2</v>
      </c>
    </row>
    <row r="161" spans="1:6" ht="25.95" customHeight="1" x14ac:dyDescent="0.3">
      <c r="A161" s="36">
        <v>33</v>
      </c>
      <c r="B161" s="22" t="s">
        <v>231</v>
      </c>
      <c r="C161" s="22" t="s">
        <v>378</v>
      </c>
      <c r="D161" s="24" t="s">
        <v>36</v>
      </c>
      <c r="E161" s="25" t="s">
        <v>232</v>
      </c>
      <c r="F161" s="26">
        <v>4</v>
      </c>
    </row>
    <row r="162" spans="1:6" ht="25.95" customHeight="1" x14ac:dyDescent="0.3">
      <c r="A162" s="36">
        <v>34</v>
      </c>
      <c r="B162" s="28" t="s">
        <v>233</v>
      </c>
      <c r="C162" s="28" t="s">
        <v>376</v>
      </c>
      <c r="D162" s="24" t="s">
        <v>36</v>
      </c>
      <c r="E162" s="25" t="s">
        <v>234</v>
      </c>
      <c r="F162" s="26">
        <v>3</v>
      </c>
    </row>
    <row r="163" spans="1:6" ht="25.95" customHeight="1" x14ac:dyDescent="0.3">
      <c r="A163" s="36">
        <v>35</v>
      </c>
      <c r="B163" s="22" t="s">
        <v>235</v>
      </c>
      <c r="C163" s="22" t="s">
        <v>378</v>
      </c>
      <c r="D163" s="24" t="s">
        <v>36</v>
      </c>
      <c r="E163" s="25" t="s">
        <v>236</v>
      </c>
      <c r="F163" s="26">
        <v>4</v>
      </c>
    </row>
    <row r="164" spans="1:6" ht="25.95" customHeight="1" x14ac:dyDescent="0.3">
      <c r="A164" s="36">
        <v>36</v>
      </c>
      <c r="B164" s="28" t="s">
        <v>237</v>
      </c>
      <c r="C164" s="28" t="s">
        <v>375</v>
      </c>
      <c r="D164" s="24" t="s">
        <v>36</v>
      </c>
      <c r="E164" s="25" t="s">
        <v>179</v>
      </c>
      <c r="F164" s="26">
        <v>2</v>
      </c>
    </row>
    <row r="165" spans="1:6" ht="25.95" customHeight="1" x14ac:dyDescent="0.3">
      <c r="A165" s="36">
        <v>37</v>
      </c>
      <c r="B165" s="22" t="s">
        <v>238</v>
      </c>
      <c r="C165" s="22" t="s">
        <v>375</v>
      </c>
      <c r="D165" s="24" t="s">
        <v>36</v>
      </c>
      <c r="E165" s="25" t="s">
        <v>239</v>
      </c>
      <c r="F165" s="26">
        <v>2</v>
      </c>
    </row>
    <row r="166" spans="1:6" ht="25.95" customHeight="1" x14ac:dyDescent="0.3">
      <c r="A166" s="36">
        <v>38</v>
      </c>
      <c r="B166" s="28" t="s">
        <v>240</v>
      </c>
      <c r="C166" s="28" t="s">
        <v>375</v>
      </c>
      <c r="D166" s="24" t="s">
        <v>36</v>
      </c>
      <c r="E166" s="25" t="s">
        <v>61</v>
      </c>
      <c r="F166" s="26">
        <v>2</v>
      </c>
    </row>
    <row r="167" spans="1:6" ht="25.95" customHeight="1" x14ac:dyDescent="0.3">
      <c r="A167" s="36">
        <v>39</v>
      </c>
      <c r="B167" s="22" t="s">
        <v>241</v>
      </c>
      <c r="C167" s="22" t="s">
        <v>375</v>
      </c>
      <c r="D167" s="24" t="s">
        <v>36</v>
      </c>
      <c r="E167" s="25" t="s">
        <v>61</v>
      </c>
      <c r="F167" s="26">
        <v>2</v>
      </c>
    </row>
    <row r="168" spans="1:6" ht="25.95" customHeight="1" x14ac:dyDescent="0.3">
      <c r="A168" s="36">
        <v>40</v>
      </c>
      <c r="B168" s="28" t="s">
        <v>242</v>
      </c>
      <c r="C168" s="28" t="s">
        <v>375</v>
      </c>
      <c r="D168" s="24" t="s">
        <v>36</v>
      </c>
      <c r="E168" s="25" t="s">
        <v>61</v>
      </c>
      <c r="F168" s="26">
        <v>2</v>
      </c>
    </row>
    <row r="169" spans="1:6" ht="25.95" customHeight="1" x14ac:dyDescent="0.3">
      <c r="A169" s="36">
        <v>41</v>
      </c>
      <c r="B169" s="22" t="s">
        <v>243</v>
      </c>
      <c r="C169" s="22" t="s">
        <v>375</v>
      </c>
      <c r="D169" s="24" t="s">
        <v>36</v>
      </c>
      <c r="E169" s="25" t="s">
        <v>61</v>
      </c>
      <c r="F169" s="26">
        <v>2</v>
      </c>
    </row>
    <row r="170" spans="1:6" ht="25.95" customHeight="1" x14ac:dyDescent="0.3">
      <c r="A170" s="36">
        <v>42</v>
      </c>
      <c r="B170" s="28" t="s">
        <v>244</v>
      </c>
      <c r="C170" s="28" t="s">
        <v>376</v>
      </c>
      <c r="D170" s="24" t="s">
        <v>36</v>
      </c>
      <c r="E170" s="25" t="s">
        <v>245</v>
      </c>
      <c r="F170" s="26">
        <v>3</v>
      </c>
    </row>
    <row r="171" spans="1:6" ht="25.95" customHeight="1" x14ac:dyDescent="0.3">
      <c r="A171" s="36">
        <v>43</v>
      </c>
      <c r="B171" s="22" t="s">
        <v>246</v>
      </c>
      <c r="C171" s="22" t="s">
        <v>378</v>
      </c>
      <c r="D171" s="24" t="s">
        <v>36</v>
      </c>
      <c r="E171" s="25" t="s">
        <v>247</v>
      </c>
      <c r="F171" s="26">
        <v>4</v>
      </c>
    </row>
    <row r="172" spans="1:6" ht="25.95" customHeight="1" x14ac:dyDescent="0.3">
      <c r="A172" s="36">
        <v>44</v>
      </c>
      <c r="B172" s="28" t="s">
        <v>248</v>
      </c>
      <c r="C172" s="28" t="s">
        <v>375</v>
      </c>
      <c r="D172" s="24" t="s">
        <v>36</v>
      </c>
      <c r="E172" s="25" t="s">
        <v>61</v>
      </c>
      <c r="F172" s="26">
        <v>2</v>
      </c>
    </row>
    <row r="173" spans="1:6" ht="25.95" customHeight="1" x14ac:dyDescent="0.3">
      <c r="A173" s="36">
        <v>45</v>
      </c>
      <c r="B173" s="22" t="s">
        <v>249</v>
      </c>
      <c r="C173" s="22" t="s">
        <v>376</v>
      </c>
      <c r="D173" s="24" t="s">
        <v>36</v>
      </c>
      <c r="E173" s="25" t="s">
        <v>182</v>
      </c>
      <c r="F173" s="26">
        <v>3</v>
      </c>
    </row>
    <row r="174" spans="1:6" ht="25.95" customHeight="1" x14ac:dyDescent="0.3">
      <c r="A174" s="36">
        <v>46</v>
      </c>
      <c r="B174" s="28" t="s">
        <v>250</v>
      </c>
      <c r="C174" s="28" t="s">
        <v>377</v>
      </c>
      <c r="D174" s="24" t="s">
        <v>36</v>
      </c>
      <c r="E174" s="25" t="s">
        <v>55</v>
      </c>
      <c r="F174" s="26">
        <v>6</v>
      </c>
    </row>
    <row r="175" spans="1:6" ht="25.95" customHeight="1" x14ac:dyDescent="0.3">
      <c r="A175" s="36">
        <v>47</v>
      </c>
      <c r="B175" s="22" t="s">
        <v>251</v>
      </c>
      <c r="C175" s="22" t="s">
        <v>378</v>
      </c>
      <c r="D175" s="24" t="s">
        <v>36</v>
      </c>
      <c r="E175" s="25" t="s">
        <v>252</v>
      </c>
      <c r="F175" s="26">
        <v>4</v>
      </c>
    </row>
    <row r="176" spans="1:6" ht="25.95" customHeight="1" x14ac:dyDescent="0.3">
      <c r="A176" s="36">
        <v>48</v>
      </c>
      <c r="B176" s="28" t="s">
        <v>253</v>
      </c>
      <c r="C176" s="28" t="s">
        <v>375</v>
      </c>
      <c r="D176" s="24" t="s">
        <v>36</v>
      </c>
      <c r="E176" s="25" t="s">
        <v>79</v>
      </c>
      <c r="F176" s="26">
        <v>2</v>
      </c>
    </row>
    <row r="177" spans="1:6" ht="7.95" customHeight="1" x14ac:dyDescent="0.3"/>
    <row r="179" spans="1:6" ht="24" customHeight="1" x14ac:dyDescent="0.3">
      <c r="A179" s="62" t="s">
        <v>380</v>
      </c>
      <c r="B179" s="52"/>
      <c r="C179" s="52"/>
      <c r="D179" s="52"/>
      <c r="E179" s="52"/>
      <c r="F179" s="52"/>
    </row>
    <row r="180" spans="1:6" ht="24" customHeight="1" x14ac:dyDescent="0.3">
      <c r="A180" s="39" t="s">
        <v>25</v>
      </c>
      <c r="B180" s="39" t="s">
        <v>26</v>
      </c>
      <c r="C180" s="39" t="s">
        <v>356</v>
      </c>
      <c r="D180" s="39" t="s">
        <v>28</v>
      </c>
      <c r="E180" s="39" t="s">
        <v>357</v>
      </c>
      <c r="F180" s="39" t="s">
        <v>31</v>
      </c>
    </row>
    <row r="181" spans="1:6" ht="25.95" customHeight="1" x14ac:dyDescent="0.3">
      <c r="A181" s="38">
        <v>1</v>
      </c>
      <c r="B181" s="22" t="s">
        <v>256</v>
      </c>
      <c r="C181" s="22" t="s">
        <v>45</v>
      </c>
      <c r="D181" s="24" t="s">
        <v>36</v>
      </c>
      <c r="E181" s="25" t="s">
        <v>45</v>
      </c>
      <c r="F181" s="26">
        <v>1</v>
      </c>
    </row>
    <row r="182" spans="1:6" ht="25.95" customHeight="1" x14ac:dyDescent="0.3">
      <c r="A182" s="38">
        <v>2</v>
      </c>
      <c r="B182" s="28" t="s">
        <v>257</v>
      </c>
      <c r="C182" s="28" t="s">
        <v>258</v>
      </c>
      <c r="D182" s="24" t="s">
        <v>36</v>
      </c>
      <c r="E182" s="25" t="s">
        <v>258</v>
      </c>
      <c r="F182" s="26">
        <v>1</v>
      </c>
    </row>
    <row r="183" spans="1:6" ht="25.95" customHeight="1" x14ac:dyDescent="0.3">
      <c r="A183" s="38">
        <v>3</v>
      </c>
      <c r="B183" s="22" t="s">
        <v>259</v>
      </c>
      <c r="C183" s="22" t="s">
        <v>177</v>
      </c>
      <c r="D183" s="24" t="s">
        <v>36</v>
      </c>
      <c r="E183" s="25" t="s">
        <v>177</v>
      </c>
      <c r="F183" s="26">
        <v>1</v>
      </c>
    </row>
    <row r="184" spans="1:6" ht="25.95" customHeight="1" x14ac:dyDescent="0.3">
      <c r="A184" s="38">
        <v>4</v>
      </c>
      <c r="B184" s="28" t="s">
        <v>260</v>
      </c>
      <c r="C184" s="28" t="s">
        <v>167</v>
      </c>
      <c r="D184" s="24" t="s">
        <v>36</v>
      </c>
      <c r="E184" s="25" t="s">
        <v>167</v>
      </c>
      <c r="F184" s="26">
        <v>1</v>
      </c>
    </row>
    <row r="185" spans="1:6" ht="25.95" customHeight="1" x14ac:dyDescent="0.3">
      <c r="A185" s="38">
        <v>5</v>
      </c>
      <c r="B185" s="22" t="s">
        <v>261</v>
      </c>
      <c r="C185" s="22" t="s">
        <v>45</v>
      </c>
      <c r="D185" s="24" t="s">
        <v>36</v>
      </c>
      <c r="E185" s="25" t="s">
        <v>45</v>
      </c>
      <c r="F185" s="26">
        <v>1</v>
      </c>
    </row>
    <row r="186" spans="1:6" ht="25.95" customHeight="1" x14ac:dyDescent="0.3">
      <c r="A186" s="38">
        <v>6</v>
      </c>
      <c r="B186" s="28" t="s">
        <v>262</v>
      </c>
      <c r="C186" s="28" t="s">
        <v>263</v>
      </c>
      <c r="D186" s="24" t="s">
        <v>36</v>
      </c>
      <c r="E186" s="25" t="s">
        <v>263</v>
      </c>
      <c r="F186" s="26">
        <v>1</v>
      </c>
    </row>
    <row r="187" spans="1:6" ht="25.95" customHeight="1" x14ac:dyDescent="0.3">
      <c r="A187" s="38">
        <v>7</v>
      </c>
      <c r="B187" s="22" t="s">
        <v>264</v>
      </c>
      <c r="C187" s="22" t="s">
        <v>45</v>
      </c>
      <c r="D187" s="24" t="s">
        <v>36</v>
      </c>
      <c r="E187" s="25" t="s">
        <v>45</v>
      </c>
      <c r="F187" s="26">
        <v>1</v>
      </c>
    </row>
    <row r="188" spans="1:6" ht="25.95" customHeight="1" x14ac:dyDescent="0.3">
      <c r="A188" s="38">
        <v>8</v>
      </c>
      <c r="B188" s="28" t="s">
        <v>265</v>
      </c>
      <c r="C188" s="28" t="s">
        <v>45</v>
      </c>
      <c r="D188" s="24" t="s">
        <v>36</v>
      </c>
      <c r="E188" s="25" t="s">
        <v>45</v>
      </c>
      <c r="F188" s="26">
        <v>1</v>
      </c>
    </row>
    <row r="189" spans="1:6" ht="25.95" customHeight="1" x14ac:dyDescent="0.3">
      <c r="A189" s="38">
        <v>9</v>
      </c>
      <c r="B189" s="22" t="s">
        <v>266</v>
      </c>
      <c r="C189" s="22" t="s">
        <v>177</v>
      </c>
      <c r="D189" s="24" t="s">
        <v>36</v>
      </c>
      <c r="E189" s="25" t="s">
        <v>177</v>
      </c>
      <c r="F189" s="26">
        <v>1</v>
      </c>
    </row>
    <row r="190" spans="1:6" ht="25.95" customHeight="1" x14ac:dyDescent="0.3">
      <c r="A190" s="38">
        <v>10</v>
      </c>
      <c r="B190" s="28" t="s">
        <v>267</v>
      </c>
      <c r="C190" s="28" t="s">
        <v>177</v>
      </c>
      <c r="D190" s="24" t="s">
        <v>36</v>
      </c>
      <c r="E190" s="25" t="s">
        <v>177</v>
      </c>
      <c r="F190" s="26">
        <v>1</v>
      </c>
    </row>
    <row r="191" spans="1:6" ht="25.95" customHeight="1" x14ac:dyDescent="0.3">
      <c r="A191" s="38">
        <v>11</v>
      </c>
      <c r="B191" s="22" t="s">
        <v>268</v>
      </c>
      <c r="C191" s="22" t="s">
        <v>45</v>
      </c>
      <c r="D191" s="24" t="s">
        <v>36</v>
      </c>
      <c r="E191" s="25" t="s">
        <v>45</v>
      </c>
      <c r="F191" s="26">
        <v>1</v>
      </c>
    </row>
    <row r="192" spans="1:6" ht="25.95" customHeight="1" x14ac:dyDescent="0.3">
      <c r="A192" s="38">
        <v>12</v>
      </c>
      <c r="B192" s="28" t="s">
        <v>269</v>
      </c>
      <c r="C192" s="28" t="s">
        <v>270</v>
      </c>
      <c r="D192" s="24" t="s">
        <v>36</v>
      </c>
      <c r="E192" s="25" t="s">
        <v>270</v>
      </c>
      <c r="F192" s="26">
        <v>1</v>
      </c>
    </row>
    <row r="193" spans="1:6" ht="25.95" customHeight="1" x14ac:dyDescent="0.3">
      <c r="A193" s="38">
        <v>13</v>
      </c>
      <c r="B193" s="22" t="s">
        <v>271</v>
      </c>
      <c r="C193" s="22" t="s">
        <v>45</v>
      </c>
      <c r="D193" s="24" t="s">
        <v>36</v>
      </c>
      <c r="E193" s="25" t="s">
        <v>45</v>
      </c>
      <c r="F193" s="26">
        <v>1</v>
      </c>
    </row>
    <row r="194" spans="1:6" ht="25.95" customHeight="1" x14ac:dyDescent="0.3">
      <c r="A194" s="38">
        <v>14</v>
      </c>
      <c r="B194" s="28" t="s">
        <v>272</v>
      </c>
      <c r="C194" s="28" t="s">
        <v>45</v>
      </c>
      <c r="D194" s="24" t="s">
        <v>36</v>
      </c>
      <c r="E194" s="25" t="s">
        <v>45</v>
      </c>
      <c r="F194" s="26">
        <v>1</v>
      </c>
    </row>
    <row r="195" spans="1:6" ht="25.95" customHeight="1" x14ac:dyDescent="0.3">
      <c r="A195" s="38">
        <v>15</v>
      </c>
      <c r="B195" s="22" t="s">
        <v>273</v>
      </c>
      <c r="C195" s="22" t="s">
        <v>45</v>
      </c>
      <c r="D195" s="24" t="s">
        <v>36</v>
      </c>
      <c r="E195" s="25" t="s">
        <v>45</v>
      </c>
      <c r="F195" s="26">
        <v>1</v>
      </c>
    </row>
    <row r="196" spans="1:6" ht="25.95" customHeight="1" x14ac:dyDescent="0.3">
      <c r="A196" s="38">
        <v>16</v>
      </c>
      <c r="B196" s="28" t="s">
        <v>274</v>
      </c>
      <c r="C196" s="28" t="s">
        <v>81</v>
      </c>
      <c r="D196" s="24" t="s">
        <v>36</v>
      </c>
      <c r="E196" s="25" t="s">
        <v>81</v>
      </c>
      <c r="F196" s="26">
        <v>1</v>
      </c>
    </row>
    <row r="197" spans="1:6" ht="25.95" customHeight="1" x14ac:dyDescent="0.3">
      <c r="A197" s="38">
        <v>17</v>
      </c>
      <c r="B197" s="22" t="s">
        <v>275</v>
      </c>
      <c r="C197" s="22" t="s">
        <v>45</v>
      </c>
      <c r="D197" s="24" t="s">
        <v>36</v>
      </c>
      <c r="E197" s="25" t="s">
        <v>45</v>
      </c>
      <c r="F197" s="26">
        <v>1</v>
      </c>
    </row>
    <row r="198" spans="1:6" ht="25.95" customHeight="1" x14ac:dyDescent="0.3">
      <c r="A198" s="38">
        <v>18</v>
      </c>
      <c r="B198" s="28" t="s">
        <v>276</v>
      </c>
      <c r="C198" s="28" t="s">
        <v>81</v>
      </c>
      <c r="D198" s="24" t="s">
        <v>36</v>
      </c>
      <c r="E198" s="25" t="s">
        <v>81</v>
      </c>
      <c r="F198" s="26">
        <v>1</v>
      </c>
    </row>
    <row r="199" spans="1:6" ht="25.95" customHeight="1" x14ac:dyDescent="0.3">
      <c r="A199" s="38">
        <v>19</v>
      </c>
      <c r="B199" s="22" t="s">
        <v>277</v>
      </c>
      <c r="C199" s="22" t="s">
        <v>45</v>
      </c>
      <c r="D199" s="24" t="s">
        <v>36</v>
      </c>
      <c r="E199" s="25" t="s">
        <v>45</v>
      </c>
      <c r="F199" s="26">
        <v>1</v>
      </c>
    </row>
    <row r="200" spans="1:6" ht="25.95" customHeight="1" x14ac:dyDescent="0.3">
      <c r="A200" s="38">
        <v>20</v>
      </c>
      <c r="B200" s="28" t="s">
        <v>278</v>
      </c>
      <c r="C200" s="28" t="s">
        <v>270</v>
      </c>
      <c r="D200" s="24" t="s">
        <v>36</v>
      </c>
      <c r="E200" s="25" t="s">
        <v>270</v>
      </c>
      <c r="F200" s="26">
        <v>1</v>
      </c>
    </row>
    <row r="201" spans="1:6" ht="25.95" customHeight="1" x14ac:dyDescent="0.3">
      <c r="A201" s="38">
        <v>21</v>
      </c>
      <c r="B201" s="22" t="s">
        <v>279</v>
      </c>
      <c r="C201" s="22" t="s">
        <v>45</v>
      </c>
      <c r="D201" s="24" t="s">
        <v>36</v>
      </c>
      <c r="E201" s="25" t="s">
        <v>45</v>
      </c>
      <c r="F201" s="26">
        <v>1</v>
      </c>
    </row>
    <row r="202" spans="1:6" ht="25.95" customHeight="1" x14ac:dyDescent="0.3">
      <c r="A202" s="38">
        <v>22</v>
      </c>
      <c r="B202" s="28" t="s">
        <v>280</v>
      </c>
      <c r="C202" s="28" t="s">
        <v>41</v>
      </c>
      <c r="D202" s="24" t="s">
        <v>36</v>
      </c>
      <c r="E202" s="25" t="s">
        <v>41</v>
      </c>
      <c r="F202" s="26">
        <v>1</v>
      </c>
    </row>
    <row r="203" spans="1:6" ht="25.95" customHeight="1" x14ac:dyDescent="0.3">
      <c r="A203" s="38">
        <v>23</v>
      </c>
      <c r="B203" s="22" t="s">
        <v>281</v>
      </c>
      <c r="C203" s="22" t="s">
        <v>45</v>
      </c>
      <c r="D203" s="24" t="s">
        <v>36</v>
      </c>
      <c r="E203" s="25" t="s">
        <v>45</v>
      </c>
      <c r="F203" s="26">
        <v>1</v>
      </c>
    </row>
    <row r="204" spans="1:6" ht="25.95" customHeight="1" x14ac:dyDescent="0.3">
      <c r="A204" s="38">
        <v>24</v>
      </c>
      <c r="B204" s="28" t="s">
        <v>282</v>
      </c>
      <c r="C204" s="28" t="s">
        <v>263</v>
      </c>
      <c r="D204" s="24" t="s">
        <v>36</v>
      </c>
      <c r="E204" s="25" t="s">
        <v>263</v>
      </c>
      <c r="F204" s="26">
        <v>1</v>
      </c>
    </row>
    <row r="205" spans="1:6" ht="25.95" customHeight="1" x14ac:dyDescent="0.3">
      <c r="A205" s="38">
        <v>25</v>
      </c>
      <c r="B205" s="22" t="s">
        <v>283</v>
      </c>
      <c r="C205" s="22" t="s">
        <v>177</v>
      </c>
      <c r="D205" s="24" t="s">
        <v>36</v>
      </c>
      <c r="E205" s="25" t="s">
        <v>177</v>
      </c>
      <c r="F205" s="26">
        <v>1</v>
      </c>
    </row>
    <row r="206" spans="1:6" ht="25.95" customHeight="1" x14ac:dyDescent="0.3">
      <c r="A206" s="38">
        <v>26</v>
      </c>
      <c r="B206" s="28" t="s">
        <v>284</v>
      </c>
      <c r="C206" s="28" t="s">
        <v>45</v>
      </c>
      <c r="D206" s="24" t="s">
        <v>36</v>
      </c>
      <c r="E206" s="25" t="s">
        <v>45</v>
      </c>
      <c r="F206" s="26">
        <v>1</v>
      </c>
    </row>
    <row r="207" spans="1:6" ht="25.95" customHeight="1" x14ac:dyDescent="0.3">
      <c r="A207" s="38">
        <v>27</v>
      </c>
      <c r="B207" s="22" t="s">
        <v>285</v>
      </c>
      <c r="C207" s="22" t="s">
        <v>45</v>
      </c>
      <c r="D207" s="24" t="s">
        <v>36</v>
      </c>
      <c r="E207" s="25" t="s">
        <v>45</v>
      </c>
      <c r="F207" s="26">
        <v>1</v>
      </c>
    </row>
    <row r="208" spans="1:6" ht="25.95" customHeight="1" x14ac:dyDescent="0.3">
      <c r="A208" s="38">
        <v>28</v>
      </c>
      <c r="B208" s="28" t="s">
        <v>286</v>
      </c>
      <c r="C208" s="28" t="s">
        <v>45</v>
      </c>
      <c r="D208" s="24" t="s">
        <v>36</v>
      </c>
      <c r="E208" s="25" t="s">
        <v>45</v>
      </c>
      <c r="F208" s="26">
        <v>1</v>
      </c>
    </row>
    <row r="209" spans="1:6" ht="25.95" customHeight="1" x14ac:dyDescent="0.3">
      <c r="A209" s="38">
        <v>29</v>
      </c>
      <c r="B209" s="22" t="s">
        <v>287</v>
      </c>
      <c r="C209" s="22" t="s">
        <v>45</v>
      </c>
      <c r="D209" s="24" t="s">
        <v>36</v>
      </c>
      <c r="E209" s="25" t="s">
        <v>45</v>
      </c>
      <c r="F209" s="26">
        <v>1</v>
      </c>
    </row>
    <row r="210" spans="1:6" ht="25.95" customHeight="1" x14ac:dyDescent="0.3">
      <c r="A210" s="38">
        <v>30</v>
      </c>
      <c r="B210" s="28" t="s">
        <v>288</v>
      </c>
      <c r="C210" s="28" t="s">
        <v>45</v>
      </c>
      <c r="D210" s="24" t="s">
        <v>36</v>
      </c>
      <c r="E210" s="25" t="s">
        <v>45</v>
      </c>
      <c r="F210" s="26">
        <v>1</v>
      </c>
    </row>
    <row r="211" spans="1:6" ht="25.95" customHeight="1" x14ac:dyDescent="0.3">
      <c r="A211" s="38">
        <v>31</v>
      </c>
      <c r="B211" s="22" t="s">
        <v>289</v>
      </c>
      <c r="C211" s="22" t="s">
        <v>45</v>
      </c>
      <c r="D211" s="24" t="s">
        <v>36</v>
      </c>
      <c r="E211" s="25" t="s">
        <v>45</v>
      </c>
      <c r="F211" s="26">
        <v>1</v>
      </c>
    </row>
    <row r="212" spans="1:6" ht="25.95" customHeight="1" x14ac:dyDescent="0.3">
      <c r="A212" s="38">
        <v>32</v>
      </c>
      <c r="B212" s="28" t="s">
        <v>290</v>
      </c>
      <c r="C212" s="28" t="s">
        <v>45</v>
      </c>
      <c r="D212" s="24" t="s">
        <v>36</v>
      </c>
      <c r="E212" s="25" t="s">
        <v>45</v>
      </c>
      <c r="F212" s="26">
        <v>1</v>
      </c>
    </row>
    <row r="213" spans="1:6" ht="25.95" customHeight="1" x14ac:dyDescent="0.3">
      <c r="A213" s="38">
        <v>33</v>
      </c>
      <c r="B213" s="22" t="s">
        <v>291</v>
      </c>
      <c r="C213" s="22" t="s">
        <v>177</v>
      </c>
      <c r="D213" s="24" t="s">
        <v>36</v>
      </c>
      <c r="E213" s="25" t="s">
        <v>177</v>
      </c>
      <c r="F213" s="26">
        <v>1</v>
      </c>
    </row>
    <row r="214" spans="1:6" ht="25.95" customHeight="1" x14ac:dyDescent="0.3">
      <c r="A214" s="38">
        <v>34</v>
      </c>
      <c r="B214" s="28" t="s">
        <v>292</v>
      </c>
      <c r="C214" s="28" t="s">
        <v>81</v>
      </c>
      <c r="D214" s="24" t="s">
        <v>36</v>
      </c>
      <c r="E214" s="25" t="s">
        <v>81</v>
      </c>
      <c r="F214" s="26">
        <v>1</v>
      </c>
    </row>
    <row r="215" spans="1:6" ht="25.95" customHeight="1" x14ac:dyDescent="0.3">
      <c r="A215" s="38">
        <v>35</v>
      </c>
      <c r="B215" s="22" t="s">
        <v>293</v>
      </c>
      <c r="C215" s="22" t="s">
        <v>45</v>
      </c>
      <c r="D215" s="24" t="s">
        <v>36</v>
      </c>
      <c r="E215" s="25" t="s">
        <v>45</v>
      </c>
      <c r="F215" s="26">
        <v>1</v>
      </c>
    </row>
    <row r="216" spans="1:6" ht="25.95" customHeight="1" x14ac:dyDescent="0.3">
      <c r="A216" s="38">
        <v>36</v>
      </c>
      <c r="B216" s="28" t="s">
        <v>294</v>
      </c>
      <c r="C216" s="28" t="s">
        <v>270</v>
      </c>
      <c r="D216" s="24" t="s">
        <v>36</v>
      </c>
      <c r="E216" s="25" t="s">
        <v>270</v>
      </c>
      <c r="F216" s="26">
        <v>1</v>
      </c>
    </row>
    <row r="217" spans="1:6" ht="25.95" customHeight="1" x14ac:dyDescent="0.3">
      <c r="A217" s="38">
        <v>37</v>
      </c>
      <c r="B217" s="22" t="s">
        <v>295</v>
      </c>
      <c r="C217" s="22" t="s">
        <v>45</v>
      </c>
      <c r="D217" s="24" t="s">
        <v>36</v>
      </c>
      <c r="E217" s="25" t="s">
        <v>45</v>
      </c>
      <c r="F217" s="26">
        <v>1</v>
      </c>
    </row>
    <row r="218" spans="1:6" ht="25.95" customHeight="1" x14ac:dyDescent="0.3">
      <c r="A218" s="38">
        <v>38</v>
      </c>
      <c r="B218" s="28" t="s">
        <v>296</v>
      </c>
      <c r="C218" s="28" t="s">
        <v>45</v>
      </c>
      <c r="D218" s="24" t="s">
        <v>36</v>
      </c>
      <c r="E218" s="25" t="s">
        <v>45</v>
      </c>
      <c r="F218" s="26">
        <v>1</v>
      </c>
    </row>
    <row r="219" spans="1:6" ht="25.95" customHeight="1" x14ac:dyDescent="0.3">
      <c r="A219" s="38">
        <v>39</v>
      </c>
      <c r="B219" s="22" t="s">
        <v>297</v>
      </c>
      <c r="C219" s="22" t="s">
        <v>45</v>
      </c>
      <c r="D219" s="24" t="s">
        <v>36</v>
      </c>
      <c r="E219" s="25" t="s">
        <v>45</v>
      </c>
      <c r="F219" s="26">
        <v>1</v>
      </c>
    </row>
    <row r="220" spans="1:6" ht="25.95" customHeight="1" x14ac:dyDescent="0.3">
      <c r="A220" s="38">
        <v>40</v>
      </c>
      <c r="B220" s="28" t="s">
        <v>298</v>
      </c>
      <c r="C220" s="28" t="s">
        <v>167</v>
      </c>
      <c r="D220" s="24" t="s">
        <v>36</v>
      </c>
      <c r="E220" s="25" t="s">
        <v>167</v>
      </c>
      <c r="F220" s="26">
        <v>1</v>
      </c>
    </row>
    <row r="221" spans="1:6" ht="25.95" customHeight="1" x14ac:dyDescent="0.3">
      <c r="A221" s="38">
        <v>41</v>
      </c>
      <c r="B221" s="22" t="s">
        <v>299</v>
      </c>
      <c r="C221" s="22" t="s">
        <v>177</v>
      </c>
      <c r="D221" s="24" t="s">
        <v>36</v>
      </c>
      <c r="E221" s="25" t="s">
        <v>177</v>
      </c>
      <c r="F221" s="26">
        <v>1</v>
      </c>
    </row>
    <row r="222" spans="1:6" ht="25.95" customHeight="1" x14ac:dyDescent="0.3">
      <c r="A222" s="38">
        <v>42</v>
      </c>
      <c r="B222" s="28" t="s">
        <v>300</v>
      </c>
      <c r="C222" s="28" t="s">
        <v>177</v>
      </c>
      <c r="D222" s="24" t="s">
        <v>36</v>
      </c>
      <c r="E222" s="25" t="s">
        <v>177</v>
      </c>
      <c r="F222" s="26">
        <v>1</v>
      </c>
    </row>
    <row r="223" spans="1:6" ht="25.95" customHeight="1" x14ac:dyDescent="0.3">
      <c r="A223" s="38">
        <v>43</v>
      </c>
      <c r="B223" s="22" t="s">
        <v>301</v>
      </c>
      <c r="C223" s="22" t="s">
        <v>45</v>
      </c>
      <c r="D223" s="24" t="s">
        <v>36</v>
      </c>
      <c r="E223" s="25" t="s">
        <v>45</v>
      </c>
      <c r="F223" s="26">
        <v>1</v>
      </c>
    </row>
    <row r="224" spans="1:6" ht="25.95" customHeight="1" x14ac:dyDescent="0.3">
      <c r="A224" s="38">
        <v>44</v>
      </c>
      <c r="B224" s="28" t="s">
        <v>302</v>
      </c>
      <c r="C224" s="28" t="s">
        <v>45</v>
      </c>
      <c r="D224" s="24" t="s">
        <v>36</v>
      </c>
      <c r="E224" s="25" t="s">
        <v>45</v>
      </c>
      <c r="F224" s="26">
        <v>1</v>
      </c>
    </row>
    <row r="225" spans="1:6" ht="25.95" customHeight="1" x14ac:dyDescent="0.3">
      <c r="A225" s="38">
        <v>45</v>
      </c>
      <c r="B225" s="22" t="s">
        <v>303</v>
      </c>
      <c r="C225" s="22" t="s">
        <v>177</v>
      </c>
      <c r="D225" s="24" t="s">
        <v>36</v>
      </c>
      <c r="E225" s="25" t="s">
        <v>177</v>
      </c>
      <c r="F225" s="26">
        <v>1</v>
      </c>
    </row>
    <row r="226" spans="1:6" ht="25.95" customHeight="1" x14ac:dyDescent="0.3">
      <c r="A226" s="38">
        <v>46</v>
      </c>
      <c r="B226" s="28" t="s">
        <v>304</v>
      </c>
      <c r="C226" s="28" t="s">
        <v>305</v>
      </c>
      <c r="D226" s="24" t="s">
        <v>36</v>
      </c>
      <c r="E226" s="25" t="s">
        <v>305</v>
      </c>
      <c r="F226" s="26">
        <v>1</v>
      </c>
    </row>
    <row r="227" spans="1:6" ht="25.95" customHeight="1" x14ac:dyDescent="0.3">
      <c r="A227" s="38">
        <v>47</v>
      </c>
      <c r="B227" s="22" t="s">
        <v>306</v>
      </c>
      <c r="C227" s="22" t="s">
        <v>177</v>
      </c>
      <c r="D227" s="24" t="s">
        <v>36</v>
      </c>
      <c r="E227" s="25" t="s">
        <v>177</v>
      </c>
      <c r="F227" s="26">
        <v>1</v>
      </c>
    </row>
    <row r="228" spans="1:6" ht="25.95" customHeight="1" x14ac:dyDescent="0.3">
      <c r="A228" s="38">
        <v>48</v>
      </c>
      <c r="B228" s="28" t="s">
        <v>307</v>
      </c>
      <c r="C228" s="28" t="s">
        <v>177</v>
      </c>
      <c r="D228" s="24" t="s">
        <v>36</v>
      </c>
      <c r="E228" s="25" t="s">
        <v>177</v>
      </c>
      <c r="F228" s="26">
        <v>1</v>
      </c>
    </row>
    <row r="229" spans="1:6" ht="25.95" customHeight="1" x14ac:dyDescent="0.3">
      <c r="A229" s="38">
        <v>49</v>
      </c>
      <c r="B229" s="22" t="s">
        <v>308</v>
      </c>
      <c r="C229" s="22" t="s">
        <v>258</v>
      </c>
      <c r="D229" s="24" t="s">
        <v>36</v>
      </c>
      <c r="E229" s="25" t="s">
        <v>258</v>
      </c>
      <c r="F229" s="26">
        <v>1</v>
      </c>
    </row>
    <row r="230" spans="1:6" ht="25.95" customHeight="1" x14ac:dyDescent="0.3">
      <c r="A230" s="38">
        <v>50</v>
      </c>
      <c r="B230" s="28" t="s">
        <v>309</v>
      </c>
      <c r="C230" s="28" t="s">
        <v>177</v>
      </c>
      <c r="D230" s="24" t="s">
        <v>36</v>
      </c>
      <c r="E230" s="25" t="s">
        <v>177</v>
      </c>
      <c r="F230" s="26">
        <v>1</v>
      </c>
    </row>
    <row r="231" spans="1:6" ht="25.95" customHeight="1" x14ac:dyDescent="0.3">
      <c r="A231" s="38">
        <v>51</v>
      </c>
      <c r="B231" s="22" t="s">
        <v>310</v>
      </c>
      <c r="C231" s="22" t="s">
        <v>41</v>
      </c>
      <c r="D231" s="24" t="s">
        <v>36</v>
      </c>
      <c r="E231" s="25" t="s">
        <v>41</v>
      </c>
      <c r="F231" s="26">
        <v>1</v>
      </c>
    </row>
    <row r="232" spans="1:6" ht="25.95" customHeight="1" x14ac:dyDescent="0.3">
      <c r="A232" s="38">
        <v>52</v>
      </c>
      <c r="B232" s="28" t="s">
        <v>311</v>
      </c>
      <c r="C232" s="28" t="s">
        <v>270</v>
      </c>
      <c r="D232" s="24" t="s">
        <v>36</v>
      </c>
      <c r="E232" s="25" t="s">
        <v>270</v>
      </c>
      <c r="F232" s="26">
        <v>1</v>
      </c>
    </row>
    <row r="233" spans="1:6" ht="25.95" customHeight="1" x14ac:dyDescent="0.3">
      <c r="A233" s="38">
        <v>53</v>
      </c>
      <c r="B233" s="22" t="s">
        <v>312</v>
      </c>
      <c r="C233" s="22" t="s">
        <v>45</v>
      </c>
      <c r="D233" s="24" t="s">
        <v>36</v>
      </c>
      <c r="E233" s="25" t="s">
        <v>45</v>
      </c>
      <c r="F233" s="26">
        <v>1</v>
      </c>
    </row>
    <row r="234" spans="1:6" ht="25.95" customHeight="1" x14ac:dyDescent="0.3">
      <c r="A234" s="38">
        <v>54</v>
      </c>
      <c r="B234" s="28" t="s">
        <v>313</v>
      </c>
      <c r="C234" s="28" t="s">
        <v>45</v>
      </c>
      <c r="D234" s="24" t="s">
        <v>36</v>
      </c>
      <c r="E234" s="25" t="s">
        <v>45</v>
      </c>
      <c r="F234" s="26">
        <v>1</v>
      </c>
    </row>
    <row r="235" spans="1:6" ht="25.95" customHeight="1" x14ac:dyDescent="0.3">
      <c r="A235" s="38">
        <v>55</v>
      </c>
      <c r="B235" s="22" t="s">
        <v>314</v>
      </c>
      <c r="C235" s="22" t="s">
        <v>45</v>
      </c>
      <c r="D235" s="24" t="s">
        <v>36</v>
      </c>
      <c r="E235" s="25" t="s">
        <v>45</v>
      </c>
      <c r="F235" s="26">
        <v>1</v>
      </c>
    </row>
    <row r="236" spans="1:6" ht="25.95" customHeight="1" x14ac:dyDescent="0.3">
      <c r="A236" s="38">
        <v>56</v>
      </c>
      <c r="B236" s="28" t="s">
        <v>315</v>
      </c>
      <c r="C236" s="28" t="s">
        <v>177</v>
      </c>
      <c r="D236" s="24" t="s">
        <v>36</v>
      </c>
      <c r="E236" s="25" t="s">
        <v>177</v>
      </c>
      <c r="F236" s="26">
        <v>1</v>
      </c>
    </row>
    <row r="237" spans="1:6" ht="25.95" customHeight="1" x14ac:dyDescent="0.3">
      <c r="A237" s="38">
        <v>57</v>
      </c>
      <c r="B237" s="22" t="s">
        <v>316</v>
      </c>
      <c r="C237" s="22" t="s">
        <v>45</v>
      </c>
      <c r="D237" s="24" t="s">
        <v>36</v>
      </c>
      <c r="E237" s="25" t="s">
        <v>45</v>
      </c>
      <c r="F237" s="26">
        <v>1</v>
      </c>
    </row>
    <row r="238" spans="1:6" ht="25.95" customHeight="1" x14ac:dyDescent="0.3">
      <c r="A238" s="38">
        <v>58</v>
      </c>
      <c r="B238" s="28" t="s">
        <v>317</v>
      </c>
      <c r="C238" s="28" t="s">
        <v>263</v>
      </c>
      <c r="D238" s="24" t="s">
        <v>36</v>
      </c>
      <c r="E238" s="25" t="s">
        <v>263</v>
      </c>
      <c r="F238" s="26">
        <v>1</v>
      </c>
    </row>
    <row r="239" spans="1:6" ht="25.95" customHeight="1" x14ac:dyDescent="0.3">
      <c r="A239" s="38">
        <v>59</v>
      </c>
      <c r="B239" s="22" t="s">
        <v>318</v>
      </c>
      <c r="C239" s="22" t="s">
        <v>81</v>
      </c>
      <c r="D239" s="24" t="s">
        <v>36</v>
      </c>
      <c r="E239" s="25" t="s">
        <v>81</v>
      </c>
      <c r="F239" s="26">
        <v>1</v>
      </c>
    </row>
    <row r="240" spans="1:6" ht="25.95" customHeight="1" x14ac:dyDescent="0.3">
      <c r="A240" s="38">
        <v>60</v>
      </c>
      <c r="B240" s="28" t="s">
        <v>319</v>
      </c>
      <c r="C240" s="28" t="s">
        <v>81</v>
      </c>
      <c r="D240" s="24" t="s">
        <v>36</v>
      </c>
      <c r="E240" s="25" t="s">
        <v>81</v>
      </c>
      <c r="F240" s="26">
        <v>1</v>
      </c>
    </row>
    <row r="241" spans="1:6" ht="25.95" customHeight="1" x14ac:dyDescent="0.3">
      <c r="A241" s="38">
        <v>61</v>
      </c>
      <c r="B241" s="22" t="s">
        <v>320</v>
      </c>
      <c r="C241" s="22" t="s">
        <v>45</v>
      </c>
      <c r="D241" s="24" t="s">
        <v>36</v>
      </c>
      <c r="E241" s="25" t="s">
        <v>45</v>
      </c>
      <c r="F241" s="26">
        <v>1</v>
      </c>
    </row>
    <row r="242" spans="1:6" ht="25.95" customHeight="1" x14ac:dyDescent="0.3">
      <c r="A242" s="38">
        <v>62</v>
      </c>
      <c r="B242" s="28" t="s">
        <v>321</v>
      </c>
      <c r="C242" s="28" t="s">
        <v>45</v>
      </c>
      <c r="D242" s="24" t="s">
        <v>36</v>
      </c>
      <c r="E242" s="25" t="s">
        <v>45</v>
      </c>
      <c r="F242" s="26">
        <v>1</v>
      </c>
    </row>
    <row r="243" spans="1:6" ht="25.95" customHeight="1" x14ac:dyDescent="0.3">
      <c r="A243" s="38">
        <v>63</v>
      </c>
      <c r="B243" s="22" t="s">
        <v>322</v>
      </c>
      <c r="C243" s="22" t="s">
        <v>270</v>
      </c>
      <c r="D243" s="24" t="s">
        <v>36</v>
      </c>
      <c r="E243" s="25" t="s">
        <v>270</v>
      </c>
      <c r="F243" s="26">
        <v>1</v>
      </c>
    </row>
    <row r="244" spans="1:6" ht="25.95" customHeight="1" x14ac:dyDescent="0.3">
      <c r="A244" s="38">
        <v>64</v>
      </c>
      <c r="B244" s="28" t="s">
        <v>323</v>
      </c>
      <c r="C244" s="28" t="s">
        <v>45</v>
      </c>
      <c r="D244" s="24" t="s">
        <v>36</v>
      </c>
      <c r="E244" s="25" t="s">
        <v>45</v>
      </c>
      <c r="F244" s="26">
        <v>1</v>
      </c>
    </row>
    <row r="245" spans="1:6" ht="25.95" customHeight="1" x14ac:dyDescent="0.3">
      <c r="A245" s="38">
        <v>65</v>
      </c>
      <c r="B245" s="22" t="s">
        <v>324</v>
      </c>
      <c r="C245" s="22" t="s">
        <v>45</v>
      </c>
      <c r="D245" s="24" t="s">
        <v>36</v>
      </c>
      <c r="E245" s="25" t="s">
        <v>45</v>
      </c>
      <c r="F245" s="26">
        <v>1</v>
      </c>
    </row>
    <row r="246" spans="1:6" ht="25.95" customHeight="1" x14ac:dyDescent="0.3">
      <c r="A246" s="38">
        <v>66</v>
      </c>
      <c r="B246" s="28" t="s">
        <v>325</v>
      </c>
      <c r="C246" s="28" t="s">
        <v>45</v>
      </c>
      <c r="D246" s="24" t="s">
        <v>36</v>
      </c>
      <c r="E246" s="25" t="s">
        <v>45</v>
      </c>
      <c r="F246" s="26">
        <v>1</v>
      </c>
    </row>
    <row r="247" spans="1:6" ht="25.95" customHeight="1" x14ac:dyDescent="0.3">
      <c r="A247" s="38">
        <v>67</v>
      </c>
      <c r="B247" s="22" t="s">
        <v>326</v>
      </c>
      <c r="C247" s="22" t="s">
        <v>263</v>
      </c>
      <c r="D247" s="24" t="s">
        <v>36</v>
      </c>
      <c r="E247" s="25" t="s">
        <v>263</v>
      </c>
      <c r="F247" s="26">
        <v>1</v>
      </c>
    </row>
    <row r="248" spans="1:6" ht="25.95" customHeight="1" x14ac:dyDescent="0.3">
      <c r="A248" s="38">
        <v>68</v>
      </c>
      <c r="B248" s="28" t="s">
        <v>327</v>
      </c>
      <c r="C248" s="28" t="s">
        <v>81</v>
      </c>
      <c r="D248" s="24" t="s">
        <v>36</v>
      </c>
      <c r="E248" s="25" t="s">
        <v>81</v>
      </c>
      <c r="F248" s="26">
        <v>1</v>
      </c>
    </row>
    <row r="249" spans="1:6" ht="25.95" customHeight="1" x14ac:dyDescent="0.3">
      <c r="A249" s="38">
        <v>69</v>
      </c>
      <c r="B249" s="22" t="s">
        <v>328</v>
      </c>
      <c r="C249" s="22" t="s">
        <v>177</v>
      </c>
      <c r="D249" s="24" t="s">
        <v>36</v>
      </c>
      <c r="E249" s="25" t="s">
        <v>177</v>
      </c>
      <c r="F249" s="26">
        <v>1</v>
      </c>
    </row>
    <row r="250" spans="1:6" ht="25.95" customHeight="1" x14ac:dyDescent="0.3">
      <c r="A250" s="38">
        <v>70</v>
      </c>
      <c r="B250" s="28" t="s">
        <v>329</v>
      </c>
      <c r="C250" s="28" t="s">
        <v>81</v>
      </c>
      <c r="D250" s="24" t="s">
        <v>36</v>
      </c>
      <c r="E250" s="25" t="s">
        <v>81</v>
      </c>
      <c r="F250" s="26">
        <v>1</v>
      </c>
    </row>
    <row r="251" spans="1:6" ht="25.95" customHeight="1" x14ac:dyDescent="0.3">
      <c r="A251" s="38">
        <v>71</v>
      </c>
      <c r="B251" s="22" t="s">
        <v>330</v>
      </c>
      <c r="C251" s="22" t="s">
        <v>45</v>
      </c>
      <c r="D251" s="24" t="s">
        <v>36</v>
      </c>
      <c r="E251" s="25" t="s">
        <v>45</v>
      </c>
      <c r="F251" s="26">
        <v>1</v>
      </c>
    </row>
    <row r="252" spans="1:6" ht="25.95" customHeight="1" x14ac:dyDescent="0.3">
      <c r="A252" s="38">
        <v>72</v>
      </c>
      <c r="B252" s="28" t="s">
        <v>331</v>
      </c>
      <c r="C252" s="28" t="s">
        <v>45</v>
      </c>
      <c r="D252" s="24" t="s">
        <v>36</v>
      </c>
      <c r="E252" s="25" t="s">
        <v>45</v>
      </c>
      <c r="F252" s="26">
        <v>1</v>
      </c>
    </row>
    <row r="253" spans="1:6" ht="25.95" customHeight="1" x14ac:dyDescent="0.3">
      <c r="A253" s="38">
        <v>73</v>
      </c>
      <c r="B253" s="22" t="s">
        <v>332</v>
      </c>
      <c r="C253" s="22" t="s">
        <v>258</v>
      </c>
      <c r="D253" s="24" t="s">
        <v>36</v>
      </c>
      <c r="E253" s="25" t="s">
        <v>258</v>
      </c>
      <c r="F253" s="26">
        <v>1</v>
      </c>
    </row>
    <row r="254" spans="1:6" ht="25.95" customHeight="1" x14ac:dyDescent="0.3">
      <c r="A254" s="38">
        <v>74</v>
      </c>
      <c r="B254" s="28" t="s">
        <v>333</v>
      </c>
      <c r="C254" s="28" t="s">
        <v>177</v>
      </c>
      <c r="D254" s="24" t="s">
        <v>36</v>
      </c>
      <c r="E254" s="25" t="s">
        <v>177</v>
      </c>
      <c r="F254" s="26">
        <v>1</v>
      </c>
    </row>
    <row r="255" spans="1:6" ht="25.95" customHeight="1" x14ac:dyDescent="0.3">
      <c r="A255" s="38">
        <v>75</v>
      </c>
      <c r="B255" s="22" t="s">
        <v>334</v>
      </c>
      <c r="C255" s="22" t="s">
        <v>177</v>
      </c>
      <c r="D255" s="24" t="s">
        <v>36</v>
      </c>
      <c r="E255" s="25" t="s">
        <v>177</v>
      </c>
      <c r="F255" s="26">
        <v>1</v>
      </c>
    </row>
    <row r="256" spans="1:6" ht="25.95" customHeight="1" x14ac:dyDescent="0.3">
      <c r="A256" s="38">
        <v>76</v>
      </c>
      <c r="B256" s="28" t="s">
        <v>335</v>
      </c>
      <c r="C256" s="28" t="s">
        <v>258</v>
      </c>
      <c r="D256" s="24" t="s">
        <v>36</v>
      </c>
      <c r="E256" s="25" t="s">
        <v>258</v>
      </c>
      <c r="F256" s="26">
        <v>1</v>
      </c>
    </row>
    <row r="257" spans="1:6" ht="25.95" customHeight="1" x14ac:dyDescent="0.3">
      <c r="A257" s="38">
        <v>77</v>
      </c>
      <c r="B257" s="22" t="s">
        <v>336</v>
      </c>
      <c r="C257" s="22" t="s">
        <v>45</v>
      </c>
      <c r="D257" s="24" t="s">
        <v>36</v>
      </c>
      <c r="E257" s="25" t="s">
        <v>45</v>
      </c>
      <c r="F257" s="26">
        <v>1</v>
      </c>
    </row>
    <row r="258" spans="1:6" ht="25.95" customHeight="1" x14ac:dyDescent="0.3">
      <c r="A258" s="38">
        <v>78</v>
      </c>
      <c r="B258" s="28" t="s">
        <v>337</v>
      </c>
      <c r="C258" s="28" t="s">
        <v>45</v>
      </c>
      <c r="D258" s="24" t="s">
        <v>36</v>
      </c>
      <c r="E258" s="25" t="s">
        <v>45</v>
      </c>
      <c r="F258" s="26">
        <v>1</v>
      </c>
    </row>
    <row r="259" spans="1:6" ht="25.95" customHeight="1" x14ac:dyDescent="0.3">
      <c r="A259" s="38">
        <v>79</v>
      </c>
      <c r="B259" s="22" t="s">
        <v>338</v>
      </c>
      <c r="C259" s="22" t="s">
        <v>81</v>
      </c>
      <c r="D259" s="24" t="s">
        <v>36</v>
      </c>
      <c r="E259" s="25" t="s">
        <v>81</v>
      </c>
      <c r="F259" s="26">
        <v>1</v>
      </c>
    </row>
    <row r="260" spans="1:6" ht="25.95" customHeight="1" x14ac:dyDescent="0.3">
      <c r="A260" s="38">
        <v>80</v>
      </c>
      <c r="B260" s="28" t="s">
        <v>339</v>
      </c>
      <c r="C260" s="28" t="s">
        <v>45</v>
      </c>
      <c r="D260" s="24" t="s">
        <v>36</v>
      </c>
      <c r="E260" s="25" t="s">
        <v>45</v>
      </c>
      <c r="F260" s="26">
        <v>1</v>
      </c>
    </row>
    <row r="261" spans="1:6" ht="25.95" customHeight="1" x14ac:dyDescent="0.3">
      <c r="A261" s="38">
        <v>81</v>
      </c>
      <c r="B261" s="22" t="s">
        <v>340</v>
      </c>
      <c r="C261" s="22" t="s">
        <v>81</v>
      </c>
      <c r="D261" s="24" t="s">
        <v>36</v>
      </c>
      <c r="E261" s="25" t="s">
        <v>81</v>
      </c>
      <c r="F261" s="26">
        <v>1</v>
      </c>
    </row>
    <row r="262" spans="1:6" ht="25.95" customHeight="1" x14ac:dyDescent="0.3">
      <c r="A262" s="38">
        <v>82</v>
      </c>
      <c r="B262" s="28" t="s">
        <v>341</v>
      </c>
      <c r="C262" s="28" t="s">
        <v>45</v>
      </c>
      <c r="D262" s="24" t="s">
        <v>36</v>
      </c>
      <c r="E262" s="25" t="s">
        <v>45</v>
      </c>
      <c r="F262" s="26">
        <v>1</v>
      </c>
    </row>
    <row r="263" spans="1:6" ht="25.95" customHeight="1" x14ac:dyDescent="0.3">
      <c r="A263" s="38">
        <v>83</v>
      </c>
      <c r="B263" s="22" t="s">
        <v>342</v>
      </c>
      <c r="C263" s="22" t="s">
        <v>45</v>
      </c>
      <c r="D263" s="24" t="s">
        <v>36</v>
      </c>
      <c r="E263" s="25" t="s">
        <v>45</v>
      </c>
      <c r="F263" s="26">
        <v>1</v>
      </c>
    </row>
    <row r="264" spans="1:6" ht="25.95" customHeight="1" x14ac:dyDescent="0.3">
      <c r="A264" s="38">
        <v>84</v>
      </c>
      <c r="B264" s="28" t="s">
        <v>343</v>
      </c>
      <c r="C264" s="28" t="s">
        <v>45</v>
      </c>
      <c r="D264" s="24" t="s">
        <v>36</v>
      </c>
      <c r="E264" s="25" t="s">
        <v>45</v>
      </c>
      <c r="F264" s="26">
        <v>1</v>
      </c>
    </row>
    <row r="265" spans="1:6" ht="25.95" customHeight="1" x14ac:dyDescent="0.3">
      <c r="A265" s="38">
        <v>85</v>
      </c>
      <c r="B265" s="22" t="s">
        <v>344</v>
      </c>
      <c r="C265" s="22" t="s">
        <v>81</v>
      </c>
      <c r="D265" s="24" t="s">
        <v>36</v>
      </c>
      <c r="E265" s="25" t="s">
        <v>81</v>
      </c>
      <c r="F265" s="26">
        <v>1</v>
      </c>
    </row>
    <row r="266" spans="1:6" ht="25.95" customHeight="1" x14ac:dyDescent="0.3">
      <c r="A266" s="38">
        <v>86</v>
      </c>
      <c r="B266" s="28" t="s">
        <v>345</v>
      </c>
      <c r="C266" s="28" t="s">
        <v>45</v>
      </c>
      <c r="D266" s="24" t="s">
        <v>36</v>
      </c>
      <c r="E266" s="25" t="s">
        <v>45</v>
      </c>
      <c r="F266" s="26">
        <v>1</v>
      </c>
    </row>
    <row r="267" spans="1:6" ht="25.95" customHeight="1" x14ac:dyDescent="0.3">
      <c r="A267" s="38">
        <v>87</v>
      </c>
      <c r="B267" s="22" t="s">
        <v>346</v>
      </c>
      <c r="C267" s="22" t="s">
        <v>45</v>
      </c>
      <c r="D267" s="24" t="s">
        <v>36</v>
      </c>
      <c r="E267" s="25" t="s">
        <v>45</v>
      </c>
      <c r="F267" s="26">
        <v>1</v>
      </c>
    </row>
    <row r="268" spans="1:6" ht="25.95" customHeight="1" x14ac:dyDescent="0.3">
      <c r="A268" s="38">
        <v>88</v>
      </c>
      <c r="B268" s="28" t="s">
        <v>347</v>
      </c>
      <c r="C268" s="28" t="s">
        <v>45</v>
      </c>
      <c r="D268" s="24" t="s">
        <v>36</v>
      </c>
      <c r="E268" s="25" t="s">
        <v>45</v>
      </c>
      <c r="F268" s="26">
        <v>1</v>
      </c>
    </row>
    <row r="269" spans="1:6" ht="25.95" customHeight="1" x14ac:dyDescent="0.3">
      <c r="A269" s="38">
        <v>89</v>
      </c>
      <c r="B269" s="22" t="s">
        <v>348</v>
      </c>
      <c r="C269" s="22" t="s">
        <v>45</v>
      </c>
      <c r="D269" s="24" t="s">
        <v>36</v>
      </c>
      <c r="E269" s="25" t="s">
        <v>45</v>
      </c>
      <c r="F269" s="26">
        <v>1</v>
      </c>
    </row>
    <row r="270" spans="1:6" ht="25.95" customHeight="1" x14ac:dyDescent="0.3">
      <c r="A270" s="38">
        <v>90</v>
      </c>
      <c r="B270" s="28" t="s">
        <v>349</v>
      </c>
      <c r="C270" s="28" t="s">
        <v>45</v>
      </c>
      <c r="D270" s="24" t="s">
        <v>36</v>
      </c>
      <c r="E270" s="25" t="s">
        <v>45</v>
      </c>
      <c r="F270" s="26">
        <v>1</v>
      </c>
    </row>
    <row r="271" spans="1:6" ht="25.95" customHeight="1" x14ac:dyDescent="0.3">
      <c r="A271" s="38">
        <v>91</v>
      </c>
      <c r="B271" s="22" t="s">
        <v>350</v>
      </c>
      <c r="C271" s="22" t="s">
        <v>81</v>
      </c>
      <c r="D271" s="24" t="s">
        <v>36</v>
      </c>
      <c r="E271" s="25" t="s">
        <v>81</v>
      </c>
      <c r="F271" s="26">
        <v>1</v>
      </c>
    </row>
    <row r="272" spans="1:6" ht="25.95" customHeight="1" x14ac:dyDescent="0.3">
      <c r="A272" s="38">
        <v>92</v>
      </c>
      <c r="B272" s="28" t="s">
        <v>351</v>
      </c>
      <c r="C272" s="28" t="s">
        <v>81</v>
      </c>
      <c r="D272" s="24" t="s">
        <v>36</v>
      </c>
      <c r="E272" s="25" t="s">
        <v>81</v>
      </c>
      <c r="F272" s="26">
        <v>1</v>
      </c>
    </row>
    <row r="273" spans="1:6" ht="25.95" customHeight="1" x14ac:dyDescent="0.3">
      <c r="A273" s="38">
        <v>93</v>
      </c>
      <c r="B273" s="22" t="s">
        <v>352</v>
      </c>
      <c r="C273" s="22" t="s">
        <v>81</v>
      </c>
      <c r="D273" s="24" t="s">
        <v>36</v>
      </c>
      <c r="E273" s="25" t="s">
        <v>81</v>
      </c>
      <c r="F273" s="26">
        <v>1</v>
      </c>
    </row>
    <row r="274" spans="1:6" ht="25.95" customHeight="1" x14ac:dyDescent="0.3">
      <c r="A274" s="38">
        <v>94</v>
      </c>
      <c r="B274" s="28" t="s">
        <v>353</v>
      </c>
      <c r="C274" s="28" t="s">
        <v>45</v>
      </c>
      <c r="D274" s="24" t="s">
        <v>36</v>
      </c>
      <c r="E274" s="25" t="s">
        <v>45</v>
      </c>
      <c r="F274" s="26">
        <v>1</v>
      </c>
    </row>
    <row r="275" spans="1:6" ht="7.95" customHeight="1" x14ac:dyDescent="0.3"/>
  </sheetData>
  <autoFilter ref="A1:F39" xr:uid="{00000000-0001-0000-0200-000000000000}">
    <filterColumn colId="0" showButton="0"/>
    <filterColumn colId="1" showButton="0"/>
    <filterColumn colId="2" showButton="0"/>
    <filterColumn colId="3" showButton="0"/>
    <filterColumn colId="4" showButton="0"/>
  </autoFilter>
  <mergeCells count="6">
    <mergeCell ref="A179:F179"/>
    <mergeCell ref="A2:F2"/>
    <mergeCell ref="A42:F42"/>
    <mergeCell ref="A1:F1"/>
    <mergeCell ref="A127:F127"/>
    <mergeCell ref="A101:F10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451"/>
  <sheetViews>
    <sheetView showGridLines="0" workbookViewId="0">
      <pane ySplit="3" topLeftCell="A4" activePane="bottomLeft" state="frozen"/>
      <selection pane="bottomLeft" activeCell="E93" sqref="E93"/>
    </sheetView>
  </sheetViews>
  <sheetFormatPr defaultRowHeight="14.4" x14ac:dyDescent="0.3"/>
  <cols>
    <col min="1" max="1" width="7" customWidth="1"/>
    <col min="2" max="2" width="22" customWidth="1"/>
    <col min="3" max="3" width="44" customWidth="1"/>
    <col min="4" max="4" width="16" customWidth="1"/>
    <col min="5" max="5" width="28" customWidth="1"/>
    <col min="6" max="6" width="16" customWidth="1"/>
    <col min="7" max="7" width="60" customWidth="1"/>
  </cols>
  <sheetData>
    <row r="1" spans="1:7" ht="37.950000000000003" customHeight="1" x14ac:dyDescent="0.3">
      <c r="A1" s="60" t="s">
        <v>381</v>
      </c>
      <c r="B1" s="52"/>
      <c r="C1" s="52"/>
      <c r="D1" s="52"/>
      <c r="E1" s="52"/>
      <c r="F1" s="52"/>
      <c r="G1" s="52"/>
    </row>
    <row r="2" spans="1:7" ht="16.05" customHeight="1" x14ac:dyDescent="0.3">
      <c r="A2" s="61" t="s">
        <v>382</v>
      </c>
      <c r="B2" s="52"/>
      <c r="C2" s="52"/>
      <c r="D2" s="52"/>
      <c r="E2" s="52"/>
      <c r="F2" s="52"/>
      <c r="G2" s="52"/>
    </row>
    <row r="3" spans="1:7" ht="25.95" customHeight="1" x14ac:dyDescent="0.3">
      <c r="A3" s="18" t="s">
        <v>23</v>
      </c>
      <c r="B3" s="18" t="s">
        <v>383</v>
      </c>
      <c r="C3" s="18" t="s">
        <v>26</v>
      </c>
      <c r="D3" s="18" t="s">
        <v>28</v>
      </c>
      <c r="E3" s="18" t="s">
        <v>384</v>
      </c>
      <c r="F3" s="18" t="s">
        <v>385</v>
      </c>
      <c r="G3" s="18" t="s">
        <v>386</v>
      </c>
    </row>
    <row r="4" spans="1:7" ht="18" hidden="1" customHeight="1" x14ac:dyDescent="0.3">
      <c r="A4" s="34" t="s">
        <v>157</v>
      </c>
      <c r="B4" s="40" t="s">
        <v>158</v>
      </c>
      <c r="C4" s="28" t="s">
        <v>159</v>
      </c>
      <c r="D4" s="24" t="s">
        <v>36</v>
      </c>
      <c r="E4" s="28" t="s">
        <v>81</v>
      </c>
      <c r="F4" s="41" t="s">
        <v>387</v>
      </c>
      <c r="G4" s="28" t="s">
        <v>388</v>
      </c>
    </row>
    <row r="5" spans="1:7" ht="18" hidden="1" customHeight="1" x14ac:dyDescent="0.3">
      <c r="A5" s="34" t="s">
        <v>157</v>
      </c>
      <c r="B5" s="40" t="s">
        <v>158</v>
      </c>
      <c r="C5" s="28" t="s">
        <v>159</v>
      </c>
      <c r="D5" s="24" t="s">
        <v>36</v>
      </c>
      <c r="E5" s="28" t="s">
        <v>177</v>
      </c>
      <c r="F5" s="41" t="s">
        <v>387</v>
      </c>
      <c r="G5" s="28" t="s">
        <v>388</v>
      </c>
    </row>
    <row r="6" spans="1:7" ht="18" hidden="1" customHeight="1" x14ac:dyDescent="0.3">
      <c r="A6" s="34" t="s">
        <v>157</v>
      </c>
      <c r="B6" s="40" t="s">
        <v>158</v>
      </c>
      <c r="C6" s="28" t="s">
        <v>159</v>
      </c>
      <c r="D6" s="24" t="s">
        <v>36</v>
      </c>
      <c r="E6" s="28" t="s">
        <v>45</v>
      </c>
      <c r="F6" s="41" t="s">
        <v>389</v>
      </c>
      <c r="G6" s="28" t="s">
        <v>390</v>
      </c>
    </row>
    <row r="7" spans="1:7" ht="18" hidden="1" customHeight="1" x14ac:dyDescent="0.3">
      <c r="A7" s="34" t="s">
        <v>157</v>
      </c>
      <c r="B7" s="40" t="s">
        <v>158</v>
      </c>
      <c r="C7" s="28" t="s">
        <v>159</v>
      </c>
      <c r="D7" s="24" t="s">
        <v>36</v>
      </c>
      <c r="E7" s="28" t="s">
        <v>45</v>
      </c>
      <c r="F7" s="41" t="s">
        <v>387</v>
      </c>
      <c r="G7" s="28" t="s">
        <v>388</v>
      </c>
    </row>
    <row r="8" spans="1:7" ht="18" hidden="1" customHeight="1" x14ac:dyDescent="0.3">
      <c r="A8" s="34" t="s">
        <v>157</v>
      </c>
      <c r="B8" s="40" t="s">
        <v>158</v>
      </c>
      <c r="C8" s="28" t="s">
        <v>159</v>
      </c>
      <c r="D8" s="29" t="s">
        <v>41</v>
      </c>
      <c r="E8" s="28" t="s">
        <v>41</v>
      </c>
      <c r="F8" s="41" t="s">
        <v>391</v>
      </c>
      <c r="G8" s="28" t="s">
        <v>388</v>
      </c>
    </row>
    <row r="9" spans="1:7" ht="18" hidden="1" customHeight="1" x14ac:dyDescent="0.3">
      <c r="A9" s="32" t="s">
        <v>101</v>
      </c>
      <c r="B9" s="42" t="s">
        <v>41</v>
      </c>
      <c r="C9" s="22" t="s">
        <v>102</v>
      </c>
      <c r="D9" s="29" t="s">
        <v>41</v>
      </c>
      <c r="E9" s="22" t="s">
        <v>41</v>
      </c>
      <c r="F9" s="43" t="s">
        <v>392</v>
      </c>
      <c r="G9" s="22" t="s">
        <v>393</v>
      </c>
    </row>
    <row r="10" spans="1:7" ht="18" hidden="1" customHeight="1" x14ac:dyDescent="0.3">
      <c r="A10" s="32" t="s">
        <v>101</v>
      </c>
      <c r="B10" s="42" t="s">
        <v>41</v>
      </c>
      <c r="C10" s="28" t="s">
        <v>103</v>
      </c>
      <c r="D10" s="29" t="s">
        <v>41</v>
      </c>
      <c r="E10" s="28" t="s">
        <v>41</v>
      </c>
      <c r="F10" s="41" t="s">
        <v>394</v>
      </c>
      <c r="G10" s="28" t="s">
        <v>395</v>
      </c>
    </row>
    <row r="11" spans="1:7" ht="18" hidden="1" customHeight="1" x14ac:dyDescent="0.3">
      <c r="A11" s="38" t="s">
        <v>254</v>
      </c>
      <c r="B11" s="44" t="s">
        <v>255</v>
      </c>
      <c r="C11" s="22" t="s">
        <v>256</v>
      </c>
      <c r="D11" s="24" t="s">
        <v>36</v>
      </c>
      <c r="E11" s="22" t="s">
        <v>45</v>
      </c>
      <c r="F11" s="43" t="s">
        <v>396</v>
      </c>
      <c r="G11" s="22" t="s">
        <v>397</v>
      </c>
    </row>
    <row r="12" spans="1:7" ht="18" hidden="1" customHeight="1" x14ac:dyDescent="0.3">
      <c r="A12" s="36" t="s">
        <v>188</v>
      </c>
      <c r="B12" s="45" t="s">
        <v>189</v>
      </c>
      <c r="C12" s="28" t="s">
        <v>190</v>
      </c>
      <c r="D12" s="24" t="s">
        <v>36</v>
      </c>
      <c r="E12" s="28" t="s">
        <v>263</v>
      </c>
      <c r="F12" s="41" t="s">
        <v>389</v>
      </c>
      <c r="G12" s="28" t="s">
        <v>398</v>
      </c>
    </row>
    <row r="13" spans="1:7" ht="18" hidden="1" customHeight="1" x14ac:dyDescent="0.3">
      <c r="A13" s="36" t="s">
        <v>188</v>
      </c>
      <c r="B13" s="45" t="s">
        <v>189</v>
      </c>
      <c r="C13" s="28" t="s">
        <v>190</v>
      </c>
      <c r="D13" s="24" t="s">
        <v>36</v>
      </c>
      <c r="E13" s="28" t="s">
        <v>45</v>
      </c>
      <c r="F13" s="41" t="s">
        <v>389</v>
      </c>
      <c r="G13" s="28" t="s">
        <v>398</v>
      </c>
    </row>
    <row r="14" spans="1:7" ht="18" hidden="1" customHeight="1" x14ac:dyDescent="0.3">
      <c r="A14" s="32" t="s">
        <v>101</v>
      </c>
      <c r="B14" s="42" t="s">
        <v>41</v>
      </c>
      <c r="C14" s="22" t="s">
        <v>104</v>
      </c>
      <c r="D14" s="29" t="s">
        <v>41</v>
      </c>
      <c r="E14" s="22" t="s">
        <v>41</v>
      </c>
      <c r="F14" s="43" t="s">
        <v>399</v>
      </c>
      <c r="G14" s="22" t="s">
        <v>400</v>
      </c>
    </row>
    <row r="15" spans="1:7" ht="18" hidden="1" customHeight="1" x14ac:dyDescent="0.3">
      <c r="A15" s="32" t="s">
        <v>101</v>
      </c>
      <c r="B15" s="42" t="s">
        <v>41</v>
      </c>
      <c r="C15" s="28" t="s">
        <v>105</v>
      </c>
      <c r="D15" s="29" t="s">
        <v>41</v>
      </c>
      <c r="E15" s="28" t="s">
        <v>41</v>
      </c>
      <c r="F15" s="41" t="s">
        <v>401</v>
      </c>
      <c r="G15" s="28" t="s">
        <v>402</v>
      </c>
    </row>
    <row r="16" spans="1:7" ht="18" hidden="1" customHeight="1" x14ac:dyDescent="0.3">
      <c r="A16" s="34" t="s">
        <v>157</v>
      </c>
      <c r="B16" s="40" t="s">
        <v>158</v>
      </c>
      <c r="C16" s="22" t="s">
        <v>160</v>
      </c>
      <c r="D16" s="24" t="s">
        <v>36</v>
      </c>
      <c r="E16" s="22" t="s">
        <v>81</v>
      </c>
      <c r="F16" s="43" t="s">
        <v>396</v>
      </c>
      <c r="G16" s="22" t="s">
        <v>403</v>
      </c>
    </row>
    <row r="17" spans="1:7" ht="18" hidden="1" customHeight="1" x14ac:dyDescent="0.3">
      <c r="A17" s="34" t="s">
        <v>157</v>
      </c>
      <c r="B17" s="40" t="s">
        <v>158</v>
      </c>
      <c r="C17" s="22" t="s">
        <v>160</v>
      </c>
      <c r="D17" s="24" t="s">
        <v>36</v>
      </c>
      <c r="E17" s="22" t="s">
        <v>45</v>
      </c>
      <c r="F17" s="43" t="s">
        <v>404</v>
      </c>
      <c r="G17" s="22" t="s">
        <v>405</v>
      </c>
    </row>
    <row r="18" spans="1:7" ht="18" hidden="1" customHeight="1" x14ac:dyDescent="0.3">
      <c r="A18" s="34" t="s">
        <v>157</v>
      </c>
      <c r="B18" s="40" t="s">
        <v>158</v>
      </c>
      <c r="C18" s="22" t="s">
        <v>160</v>
      </c>
      <c r="D18" s="29" t="s">
        <v>41</v>
      </c>
      <c r="E18" s="22" t="s">
        <v>41</v>
      </c>
      <c r="F18" s="43" t="s">
        <v>406</v>
      </c>
      <c r="G18" s="22" t="s">
        <v>407</v>
      </c>
    </row>
    <row r="19" spans="1:7" ht="18" hidden="1" customHeight="1" x14ac:dyDescent="0.3">
      <c r="A19" s="34" t="s">
        <v>157</v>
      </c>
      <c r="B19" s="40" t="s">
        <v>158</v>
      </c>
      <c r="C19" s="28" t="s">
        <v>161</v>
      </c>
      <c r="D19" s="24" t="s">
        <v>36</v>
      </c>
      <c r="E19" s="28" t="s">
        <v>81</v>
      </c>
      <c r="F19" s="41" t="s">
        <v>408</v>
      </c>
      <c r="G19" s="28" t="s">
        <v>409</v>
      </c>
    </row>
    <row r="20" spans="1:7" ht="18" hidden="1" customHeight="1" x14ac:dyDescent="0.3">
      <c r="A20" s="34" t="s">
        <v>157</v>
      </c>
      <c r="B20" s="40" t="s">
        <v>158</v>
      </c>
      <c r="C20" s="28" t="s">
        <v>161</v>
      </c>
      <c r="D20" s="24" t="s">
        <v>36</v>
      </c>
      <c r="E20" s="28" t="s">
        <v>45</v>
      </c>
      <c r="F20" s="41" t="s">
        <v>408</v>
      </c>
      <c r="G20" s="28" t="s">
        <v>409</v>
      </c>
    </row>
    <row r="21" spans="1:7" ht="18" hidden="1" customHeight="1" x14ac:dyDescent="0.3">
      <c r="A21" s="34" t="s">
        <v>157</v>
      </c>
      <c r="B21" s="40" t="s">
        <v>158</v>
      </c>
      <c r="C21" s="28" t="s">
        <v>161</v>
      </c>
      <c r="D21" s="29" t="s">
        <v>41</v>
      </c>
      <c r="E21" s="28" t="s">
        <v>41</v>
      </c>
      <c r="F21" s="41" t="s">
        <v>410</v>
      </c>
      <c r="G21" s="28" t="s">
        <v>411</v>
      </c>
    </row>
    <row r="22" spans="1:7" ht="18" hidden="1" customHeight="1" x14ac:dyDescent="0.3">
      <c r="A22" s="38" t="s">
        <v>254</v>
      </c>
      <c r="B22" s="44" t="s">
        <v>255</v>
      </c>
      <c r="C22" s="22" t="s">
        <v>257</v>
      </c>
      <c r="D22" s="24" t="s">
        <v>36</v>
      </c>
      <c r="E22" s="22" t="s">
        <v>258</v>
      </c>
      <c r="F22" s="43" t="s">
        <v>404</v>
      </c>
      <c r="G22" s="22"/>
    </row>
    <row r="23" spans="1:7" ht="18" hidden="1" customHeight="1" x14ac:dyDescent="0.3">
      <c r="A23" s="32" t="s">
        <v>101</v>
      </c>
      <c r="B23" s="42" t="s">
        <v>41</v>
      </c>
      <c r="C23" s="28" t="s">
        <v>106</v>
      </c>
      <c r="D23" s="29" t="s">
        <v>41</v>
      </c>
      <c r="E23" s="28" t="s">
        <v>41</v>
      </c>
      <c r="F23" s="41" t="s">
        <v>389</v>
      </c>
      <c r="G23" s="28" t="s">
        <v>412</v>
      </c>
    </row>
    <row r="24" spans="1:7" ht="18" hidden="1" customHeight="1" x14ac:dyDescent="0.3">
      <c r="A24" s="36" t="s">
        <v>188</v>
      </c>
      <c r="B24" s="45" t="s">
        <v>189</v>
      </c>
      <c r="C24" s="22" t="s">
        <v>191</v>
      </c>
      <c r="D24" s="24" t="s">
        <v>36</v>
      </c>
      <c r="E24" s="22" t="s">
        <v>263</v>
      </c>
      <c r="F24" s="43" t="s">
        <v>396</v>
      </c>
      <c r="G24" s="22" t="s">
        <v>413</v>
      </c>
    </row>
    <row r="25" spans="1:7" ht="18" hidden="1" customHeight="1" x14ac:dyDescent="0.3">
      <c r="A25" s="36" t="s">
        <v>188</v>
      </c>
      <c r="B25" s="45" t="s">
        <v>189</v>
      </c>
      <c r="C25" s="22" t="s">
        <v>191</v>
      </c>
      <c r="D25" s="24" t="s">
        <v>36</v>
      </c>
      <c r="E25" s="22" t="s">
        <v>45</v>
      </c>
      <c r="F25" s="43" t="s">
        <v>396</v>
      </c>
      <c r="G25" s="22" t="s">
        <v>413</v>
      </c>
    </row>
    <row r="26" spans="1:7" ht="18" hidden="1" customHeight="1" x14ac:dyDescent="0.3">
      <c r="A26" s="32" t="s">
        <v>101</v>
      </c>
      <c r="B26" s="42" t="s">
        <v>41</v>
      </c>
      <c r="C26" s="28" t="s">
        <v>107</v>
      </c>
      <c r="D26" s="29" t="s">
        <v>41</v>
      </c>
      <c r="E26" s="28" t="s">
        <v>41</v>
      </c>
      <c r="F26" s="41" t="s">
        <v>389</v>
      </c>
      <c r="G26" s="28" t="s">
        <v>414</v>
      </c>
    </row>
    <row r="27" spans="1:7" ht="18" hidden="1" customHeight="1" x14ac:dyDescent="0.3">
      <c r="A27" s="38" t="s">
        <v>254</v>
      </c>
      <c r="B27" s="44" t="s">
        <v>255</v>
      </c>
      <c r="C27" s="22" t="s">
        <v>259</v>
      </c>
      <c r="D27" s="24" t="s">
        <v>36</v>
      </c>
      <c r="E27" s="22" t="s">
        <v>177</v>
      </c>
      <c r="F27" s="43" t="s">
        <v>415</v>
      </c>
      <c r="G27" s="22" t="s">
        <v>416</v>
      </c>
    </row>
    <row r="28" spans="1:7" ht="18" hidden="1" customHeight="1" x14ac:dyDescent="0.3">
      <c r="A28" s="34" t="s">
        <v>157</v>
      </c>
      <c r="B28" s="40" t="s">
        <v>158</v>
      </c>
      <c r="C28" s="28" t="s">
        <v>162</v>
      </c>
      <c r="D28" s="24" t="s">
        <v>36</v>
      </c>
      <c r="E28" s="28" t="s">
        <v>81</v>
      </c>
      <c r="F28" s="41" t="s">
        <v>399</v>
      </c>
      <c r="G28" s="28" t="s">
        <v>417</v>
      </c>
    </row>
    <row r="29" spans="1:7" ht="18" hidden="1" customHeight="1" x14ac:dyDescent="0.3">
      <c r="A29" s="34" t="s">
        <v>157</v>
      </c>
      <c r="B29" s="40" t="s">
        <v>158</v>
      </c>
      <c r="C29" s="28" t="s">
        <v>162</v>
      </c>
      <c r="D29" s="29" t="s">
        <v>41</v>
      </c>
      <c r="E29" s="28" t="s">
        <v>41</v>
      </c>
      <c r="F29" s="41" t="s">
        <v>408</v>
      </c>
      <c r="G29" s="28" t="s">
        <v>418</v>
      </c>
    </row>
    <row r="30" spans="1:7" ht="18" hidden="1" customHeight="1" x14ac:dyDescent="0.3">
      <c r="A30" s="38" t="s">
        <v>254</v>
      </c>
      <c r="B30" s="44" t="s">
        <v>255</v>
      </c>
      <c r="C30" s="22" t="s">
        <v>260</v>
      </c>
      <c r="D30" s="24" t="s">
        <v>36</v>
      </c>
      <c r="E30" s="22" t="s">
        <v>167</v>
      </c>
      <c r="F30" s="43" t="s">
        <v>415</v>
      </c>
      <c r="G30" s="22" t="s">
        <v>419</v>
      </c>
    </row>
    <row r="31" spans="1:7" ht="18" hidden="1" customHeight="1" x14ac:dyDescent="0.3">
      <c r="A31" s="36" t="s">
        <v>188</v>
      </c>
      <c r="B31" s="45" t="s">
        <v>189</v>
      </c>
      <c r="C31" s="28" t="s">
        <v>192</v>
      </c>
      <c r="D31" s="24" t="s">
        <v>36</v>
      </c>
      <c r="E31" s="28" t="s">
        <v>263</v>
      </c>
      <c r="F31" s="41" t="s">
        <v>410</v>
      </c>
      <c r="G31" s="28" t="s">
        <v>420</v>
      </c>
    </row>
    <row r="32" spans="1:7" ht="18" hidden="1" customHeight="1" x14ac:dyDescent="0.3">
      <c r="A32" s="36" t="s">
        <v>188</v>
      </c>
      <c r="B32" s="45" t="s">
        <v>189</v>
      </c>
      <c r="C32" s="28" t="s">
        <v>192</v>
      </c>
      <c r="D32" s="24" t="s">
        <v>36</v>
      </c>
      <c r="E32" s="28" t="s">
        <v>45</v>
      </c>
      <c r="F32" s="41" t="s">
        <v>410</v>
      </c>
      <c r="G32" s="28" t="s">
        <v>420</v>
      </c>
    </row>
    <row r="33" spans="1:7" ht="18" hidden="1" customHeight="1" x14ac:dyDescent="0.3">
      <c r="A33" s="32" t="s">
        <v>101</v>
      </c>
      <c r="B33" s="42" t="s">
        <v>41</v>
      </c>
      <c r="C33" s="22" t="s">
        <v>108</v>
      </c>
      <c r="D33" s="29" t="s">
        <v>41</v>
      </c>
      <c r="E33" s="22" t="s">
        <v>41</v>
      </c>
      <c r="F33" s="43" t="s">
        <v>421</v>
      </c>
      <c r="G33" s="22" t="s">
        <v>422</v>
      </c>
    </row>
    <row r="34" spans="1:7" ht="18" hidden="1" customHeight="1" x14ac:dyDescent="0.3">
      <c r="A34" s="38" t="s">
        <v>254</v>
      </c>
      <c r="B34" s="44" t="s">
        <v>255</v>
      </c>
      <c r="C34" s="28" t="s">
        <v>261</v>
      </c>
      <c r="D34" s="24" t="s">
        <v>36</v>
      </c>
      <c r="E34" s="28" t="s">
        <v>45</v>
      </c>
      <c r="F34" s="41" t="s">
        <v>415</v>
      </c>
      <c r="G34" s="28" t="s">
        <v>423</v>
      </c>
    </row>
    <row r="35" spans="1:7" ht="18" hidden="1" customHeight="1" x14ac:dyDescent="0.3">
      <c r="A35" s="38" t="s">
        <v>254</v>
      </c>
      <c r="B35" s="44" t="s">
        <v>255</v>
      </c>
      <c r="C35" s="22" t="s">
        <v>262</v>
      </c>
      <c r="D35" s="24" t="s">
        <v>36</v>
      </c>
      <c r="E35" s="22" t="s">
        <v>263</v>
      </c>
      <c r="F35" s="43" t="s">
        <v>415</v>
      </c>
      <c r="G35" s="22" t="s">
        <v>424</v>
      </c>
    </row>
    <row r="36" spans="1:7" ht="18" hidden="1" customHeight="1" x14ac:dyDescent="0.3">
      <c r="A36" s="20" t="s">
        <v>32</v>
      </c>
      <c r="B36" s="46" t="s">
        <v>33</v>
      </c>
      <c r="C36" s="28" t="s">
        <v>34</v>
      </c>
      <c r="D36" s="24" t="s">
        <v>36</v>
      </c>
      <c r="E36" s="28" t="s">
        <v>167</v>
      </c>
      <c r="F36" s="41" t="s">
        <v>396</v>
      </c>
      <c r="G36" s="28" t="s">
        <v>425</v>
      </c>
    </row>
    <row r="37" spans="1:7" ht="18" hidden="1" customHeight="1" x14ac:dyDescent="0.3">
      <c r="A37" s="20" t="s">
        <v>32</v>
      </c>
      <c r="B37" s="46" t="s">
        <v>33</v>
      </c>
      <c r="C37" s="28" t="s">
        <v>34</v>
      </c>
      <c r="D37" s="24" t="s">
        <v>36</v>
      </c>
      <c r="E37" s="28" t="s">
        <v>41</v>
      </c>
      <c r="F37" s="41" t="s">
        <v>396</v>
      </c>
      <c r="G37" s="28" t="s">
        <v>425</v>
      </c>
    </row>
    <row r="38" spans="1:7" ht="18" hidden="1" customHeight="1" x14ac:dyDescent="0.3">
      <c r="A38" s="20" t="s">
        <v>32</v>
      </c>
      <c r="B38" s="46" t="s">
        <v>33</v>
      </c>
      <c r="C38" s="28" t="s">
        <v>34</v>
      </c>
      <c r="D38" s="24" t="s">
        <v>36</v>
      </c>
      <c r="E38" s="28" t="s">
        <v>263</v>
      </c>
      <c r="F38" s="41" t="s">
        <v>396</v>
      </c>
      <c r="G38" s="28" t="s">
        <v>425</v>
      </c>
    </row>
    <row r="39" spans="1:7" ht="18" hidden="1" customHeight="1" x14ac:dyDescent="0.3">
      <c r="A39" s="20" t="s">
        <v>32</v>
      </c>
      <c r="B39" s="46" t="s">
        <v>33</v>
      </c>
      <c r="C39" s="28" t="s">
        <v>34</v>
      </c>
      <c r="D39" s="24" t="s">
        <v>36</v>
      </c>
      <c r="E39" s="28" t="s">
        <v>45</v>
      </c>
      <c r="F39" s="41" t="s">
        <v>396</v>
      </c>
      <c r="G39" s="28" t="s">
        <v>425</v>
      </c>
    </row>
    <row r="40" spans="1:7" ht="18" hidden="1" customHeight="1" x14ac:dyDescent="0.3">
      <c r="A40" s="38" t="s">
        <v>254</v>
      </c>
      <c r="B40" s="44" t="s">
        <v>255</v>
      </c>
      <c r="C40" s="22" t="s">
        <v>264</v>
      </c>
      <c r="D40" s="24" t="s">
        <v>36</v>
      </c>
      <c r="E40" s="22" t="s">
        <v>45</v>
      </c>
      <c r="F40" s="43" t="s">
        <v>426</v>
      </c>
      <c r="G40" s="22" t="s">
        <v>427</v>
      </c>
    </row>
    <row r="41" spans="1:7" ht="18" hidden="1" customHeight="1" x14ac:dyDescent="0.3">
      <c r="A41" s="36" t="s">
        <v>188</v>
      </c>
      <c r="B41" s="45" t="s">
        <v>189</v>
      </c>
      <c r="C41" s="28" t="s">
        <v>193</v>
      </c>
      <c r="D41" s="24" t="s">
        <v>36</v>
      </c>
      <c r="E41" s="28" t="s">
        <v>81</v>
      </c>
      <c r="F41" s="41" t="s">
        <v>396</v>
      </c>
      <c r="G41" s="28" t="s">
        <v>428</v>
      </c>
    </row>
    <row r="42" spans="1:7" ht="18" hidden="1" customHeight="1" x14ac:dyDescent="0.3">
      <c r="A42" s="36" t="s">
        <v>188</v>
      </c>
      <c r="B42" s="45" t="s">
        <v>189</v>
      </c>
      <c r="C42" s="28" t="s">
        <v>193</v>
      </c>
      <c r="D42" s="24" t="s">
        <v>36</v>
      </c>
      <c r="E42" s="28" t="s">
        <v>263</v>
      </c>
      <c r="F42" s="41" t="s">
        <v>396</v>
      </c>
      <c r="G42" s="28" t="s">
        <v>428</v>
      </c>
    </row>
    <row r="43" spans="1:7" ht="18" hidden="1" customHeight="1" x14ac:dyDescent="0.3">
      <c r="A43" s="36" t="s">
        <v>188</v>
      </c>
      <c r="B43" s="45" t="s">
        <v>189</v>
      </c>
      <c r="C43" s="28" t="s">
        <v>193</v>
      </c>
      <c r="D43" s="24" t="s">
        <v>36</v>
      </c>
      <c r="E43" s="28" t="s">
        <v>45</v>
      </c>
      <c r="F43" s="41" t="s">
        <v>396</v>
      </c>
      <c r="G43" s="28" t="s">
        <v>428</v>
      </c>
    </row>
    <row r="44" spans="1:7" ht="18" hidden="1" customHeight="1" x14ac:dyDescent="0.3">
      <c r="A44" s="34" t="s">
        <v>157</v>
      </c>
      <c r="B44" s="40" t="s">
        <v>158</v>
      </c>
      <c r="C44" s="22" t="s">
        <v>163</v>
      </c>
      <c r="D44" s="24" t="s">
        <v>36</v>
      </c>
      <c r="E44" s="22" t="s">
        <v>81</v>
      </c>
      <c r="F44" s="43" t="s">
        <v>399</v>
      </c>
      <c r="G44" s="22" t="s">
        <v>429</v>
      </c>
    </row>
    <row r="45" spans="1:7" ht="18" hidden="1" customHeight="1" x14ac:dyDescent="0.3">
      <c r="A45" s="34" t="s">
        <v>157</v>
      </c>
      <c r="B45" s="40" t="s">
        <v>158</v>
      </c>
      <c r="C45" s="22" t="s">
        <v>163</v>
      </c>
      <c r="D45" s="29" t="s">
        <v>41</v>
      </c>
      <c r="E45" s="22" t="s">
        <v>41</v>
      </c>
      <c r="F45" s="43" t="s">
        <v>389</v>
      </c>
      <c r="G45" s="22" t="s">
        <v>430</v>
      </c>
    </row>
    <row r="46" spans="1:7" ht="18" hidden="1" customHeight="1" x14ac:dyDescent="0.3">
      <c r="A46" s="20" t="s">
        <v>32</v>
      </c>
      <c r="B46" s="46" t="s">
        <v>33</v>
      </c>
      <c r="C46" s="28" t="s">
        <v>39</v>
      </c>
      <c r="D46" s="29" t="s">
        <v>41</v>
      </c>
      <c r="E46" s="28" t="s">
        <v>41</v>
      </c>
      <c r="F46" s="41" t="s">
        <v>415</v>
      </c>
      <c r="G46" s="28" t="s">
        <v>431</v>
      </c>
    </row>
    <row r="47" spans="1:7" ht="18" hidden="1" customHeight="1" x14ac:dyDescent="0.3">
      <c r="A47" s="38" t="s">
        <v>254</v>
      </c>
      <c r="B47" s="44" t="s">
        <v>255</v>
      </c>
      <c r="C47" s="22" t="s">
        <v>265</v>
      </c>
      <c r="D47" s="24" t="s">
        <v>36</v>
      </c>
      <c r="E47" s="22" t="s">
        <v>45</v>
      </c>
      <c r="F47" s="43" t="s">
        <v>404</v>
      </c>
      <c r="G47" s="22" t="s">
        <v>432</v>
      </c>
    </row>
    <row r="48" spans="1:7" ht="18" hidden="1" customHeight="1" x14ac:dyDescent="0.3">
      <c r="A48" s="34" t="s">
        <v>157</v>
      </c>
      <c r="B48" s="40" t="s">
        <v>158</v>
      </c>
      <c r="C48" s="28" t="s">
        <v>164</v>
      </c>
      <c r="D48" s="24" t="s">
        <v>36</v>
      </c>
      <c r="E48" s="28" t="s">
        <v>81</v>
      </c>
      <c r="F48" s="41" t="s">
        <v>415</v>
      </c>
      <c r="G48" s="28" t="s">
        <v>433</v>
      </c>
    </row>
    <row r="49" spans="1:7" ht="18" hidden="1" customHeight="1" x14ac:dyDescent="0.3">
      <c r="A49" s="34" t="s">
        <v>157</v>
      </c>
      <c r="B49" s="40" t="s">
        <v>158</v>
      </c>
      <c r="C49" s="28" t="s">
        <v>164</v>
      </c>
      <c r="D49" s="24" t="s">
        <v>36</v>
      </c>
      <c r="E49" s="28" t="s">
        <v>177</v>
      </c>
      <c r="F49" s="41" t="s">
        <v>415</v>
      </c>
      <c r="G49" s="28" t="s">
        <v>433</v>
      </c>
    </row>
    <row r="50" spans="1:7" ht="18" hidden="1" customHeight="1" x14ac:dyDescent="0.3">
      <c r="A50" s="34" t="s">
        <v>157</v>
      </c>
      <c r="B50" s="40" t="s">
        <v>158</v>
      </c>
      <c r="C50" s="28" t="s">
        <v>164</v>
      </c>
      <c r="D50" s="24" t="s">
        <v>36</v>
      </c>
      <c r="E50" s="28" t="s">
        <v>45</v>
      </c>
      <c r="F50" s="41" t="s">
        <v>415</v>
      </c>
      <c r="G50" s="28" t="s">
        <v>434</v>
      </c>
    </row>
    <row r="51" spans="1:7" ht="18" hidden="1" customHeight="1" x14ac:dyDescent="0.3">
      <c r="A51" s="34" t="s">
        <v>157</v>
      </c>
      <c r="B51" s="40" t="s">
        <v>158</v>
      </c>
      <c r="C51" s="28" t="s">
        <v>164</v>
      </c>
      <c r="D51" s="29" t="s">
        <v>41</v>
      </c>
      <c r="E51" s="28" t="s">
        <v>41</v>
      </c>
      <c r="F51" s="41" t="s">
        <v>435</v>
      </c>
      <c r="G51" s="28" t="s">
        <v>436</v>
      </c>
    </row>
    <row r="52" spans="1:7" ht="18" hidden="1" customHeight="1" x14ac:dyDescent="0.3">
      <c r="A52" s="36" t="s">
        <v>188</v>
      </c>
      <c r="B52" s="45" t="s">
        <v>189</v>
      </c>
      <c r="C52" s="22" t="s">
        <v>194</v>
      </c>
      <c r="D52" s="24" t="s">
        <v>36</v>
      </c>
      <c r="E52" s="22" t="s">
        <v>263</v>
      </c>
      <c r="F52" s="43" t="s">
        <v>437</v>
      </c>
      <c r="G52" s="22" t="s">
        <v>438</v>
      </c>
    </row>
    <row r="53" spans="1:7" ht="18" hidden="1" customHeight="1" x14ac:dyDescent="0.3">
      <c r="A53" s="36" t="s">
        <v>188</v>
      </c>
      <c r="B53" s="45" t="s">
        <v>189</v>
      </c>
      <c r="C53" s="22" t="s">
        <v>194</v>
      </c>
      <c r="D53" s="24" t="s">
        <v>36</v>
      </c>
      <c r="E53" s="22" t="s">
        <v>45</v>
      </c>
      <c r="F53" s="43" t="s">
        <v>437</v>
      </c>
      <c r="G53" s="22" t="s">
        <v>438</v>
      </c>
    </row>
    <row r="54" spans="1:7" ht="18" hidden="1" customHeight="1" x14ac:dyDescent="0.3">
      <c r="A54" s="38" t="s">
        <v>254</v>
      </c>
      <c r="B54" s="44" t="s">
        <v>255</v>
      </c>
      <c r="C54" s="28" t="s">
        <v>266</v>
      </c>
      <c r="D54" s="24" t="s">
        <v>36</v>
      </c>
      <c r="E54" s="28" t="s">
        <v>177</v>
      </c>
      <c r="F54" s="41" t="s">
        <v>415</v>
      </c>
      <c r="G54" s="28" t="s">
        <v>439</v>
      </c>
    </row>
    <row r="55" spans="1:7" ht="18" hidden="1" customHeight="1" x14ac:dyDescent="0.3">
      <c r="A55" s="36" t="s">
        <v>188</v>
      </c>
      <c r="B55" s="45" t="s">
        <v>189</v>
      </c>
      <c r="C55" s="22" t="s">
        <v>195</v>
      </c>
      <c r="D55" s="24" t="s">
        <v>36</v>
      </c>
      <c r="E55" s="22" t="s">
        <v>258</v>
      </c>
      <c r="F55" s="43" t="s">
        <v>426</v>
      </c>
      <c r="G55" s="22" t="s">
        <v>440</v>
      </c>
    </row>
    <row r="56" spans="1:7" ht="18" hidden="1" customHeight="1" x14ac:dyDescent="0.3">
      <c r="A56" s="36" t="s">
        <v>188</v>
      </c>
      <c r="B56" s="45" t="s">
        <v>189</v>
      </c>
      <c r="C56" s="22" t="s">
        <v>195</v>
      </c>
      <c r="D56" s="24" t="s">
        <v>36</v>
      </c>
      <c r="E56" s="22" t="s">
        <v>81</v>
      </c>
      <c r="F56" s="43" t="s">
        <v>426</v>
      </c>
      <c r="G56" s="22" t="s">
        <v>440</v>
      </c>
    </row>
    <row r="57" spans="1:7" ht="18" hidden="1" customHeight="1" x14ac:dyDescent="0.3">
      <c r="A57" s="36" t="s">
        <v>188</v>
      </c>
      <c r="B57" s="45" t="s">
        <v>189</v>
      </c>
      <c r="C57" s="22" t="s">
        <v>195</v>
      </c>
      <c r="D57" s="24" t="s">
        <v>36</v>
      </c>
      <c r="E57" s="22" t="s">
        <v>177</v>
      </c>
      <c r="F57" s="43" t="s">
        <v>426</v>
      </c>
      <c r="G57" s="22" t="s">
        <v>440</v>
      </c>
    </row>
    <row r="58" spans="1:7" ht="18" hidden="1" customHeight="1" x14ac:dyDescent="0.3">
      <c r="A58" s="36" t="s">
        <v>188</v>
      </c>
      <c r="B58" s="45" t="s">
        <v>189</v>
      </c>
      <c r="C58" s="22" t="s">
        <v>195</v>
      </c>
      <c r="D58" s="24" t="s">
        <v>36</v>
      </c>
      <c r="E58" s="22" t="s">
        <v>41</v>
      </c>
      <c r="F58" s="43" t="s">
        <v>389</v>
      </c>
      <c r="G58" s="22" t="s">
        <v>441</v>
      </c>
    </row>
    <row r="59" spans="1:7" ht="18" hidden="1" customHeight="1" x14ac:dyDescent="0.3">
      <c r="A59" s="36" t="s">
        <v>188</v>
      </c>
      <c r="B59" s="45" t="s">
        <v>189</v>
      </c>
      <c r="C59" s="22" t="s">
        <v>195</v>
      </c>
      <c r="D59" s="24" t="s">
        <v>36</v>
      </c>
      <c r="E59" s="22" t="s">
        <v>263</v>
      </c>
      <c r="F59" s="43" t="s">
        <v>426</v>
      </c>
      <c r="G59" s="22" t="s">
        <v>440</v>
      </c>
    </row>
    <row r="60" spans="1:7" ht="18" hidden="1" customHeight="1" x14ac:dyDescent="0.3">
      <c r="A60" s="36" t="s">
        <v>188</v>
      </c>
      <c r="B60" s="45" t="s">
        <v>189</v>
      </c>
      <c r="C60" s="22" t="s">
        <v>195</v>
      </c>
      <c r="D60" s="24" t="s">
        <v>36</v>
      </c>
      <c r="E60" s="22" t="s">
        <v>45</v>
      </c>
      <c r="F60" s="43" t="s">
        <v>426</v>
      </c>
      <c r="G60" s="22" t="s">
        <v>440</v>
      </c>
    </row>
    <row r="61" spans="1:7" ht="18" hidden="1" customHeight="1" x14ac:dyDescent="0.3">
      <c r="A61" s="36" t="s">
        <v>188</v>
      </c>
      <c r="B61" s="45" t="s">
        <v>189</v>
      </c>
      <c r="C61" s="28" t="s">
        <v>196</v>
      </c>
      <c r="D61" s="24" t="s">
        <v>36</v>
      </c>
      <c r="E61" s="28" t="s">
        <v>41</v>
      </c>
      <c r="F61" s="41" t="s">
        <v>389</v>
      </c>
      <c r="G61" s="28" t="s">
        <v>442</v>
      </c>
    </row>
    <row r="62" spans="1:7" ht="18" hidden="1" customHeight="1" x14ac:dyDescent="0.3">
      <c r="A62" s="36" t="s">
        <v>188</v>
      </c>
      <c r="B62" s="45" t="s">
        <v>189</v>
      </c>
      <c r="C62" s="28" t="s">
        <v>196</v>
      </c>
      <c r="D62" s="24" t="s">
        <v>36</v>
      </c>
      <c r="E62" s="28" t="s">
        <v>263</v>
      </c>
      <c r="F62" s="41" t="s">
        <v>389</v>
      </c>
      <c r="G62" s="28" t="s">
        <v>442</v>
      </c>
    </row>
    <row r="63" spans="1:7" ht="18" hidden="1" customHeight="1" x14ac:dyDescent="0.3">
      <c r="A63" s="36" t="s">
        <v>188</v>
      </c>
      <c r="B63" s="45" t="s">
        <v>189</v>
      </c>
      <c r="C63" s="28" t="s">
        <v>196</v>
      </c>
      <c r="D63" s="24" t="s">
        <v>36</v>
      </c>
      <c r="E63" s="28" t="s">
        <v>45</v>
      </c>
      <c r="F63" s="41" t="s">
        <v>389</v>
      </c>
      <c r="G63" s="28" t="s">
        <v>442</v>
      </c>
    </row>
    <row r="64" spans="1:7" ht="18" hidden="1" customHeight="1" x14ac:dyDescent="0.3">
      <c r="A64" s="38" t="s">
        <v>254</v>
      </c>
      <c r="B64" s="44" t="s">
        <v>255</v>
      </c>
      <c r="C64" s="22" t="s">
        <v>267</v>
      </c>
      <c r="D64" s="24" t="s">
        <v>36</v>
      </c>
      <c r="E64" s="22" t="s">
        <v>177</v>
      </c>
      <c r="F64" s="43" t="s">
        <v>415</v>
      </c>
      <c r="G64" s="22" t="s">
        <v>443</v>
      </c>
    </row>
    <row r="65" spans="1:7" ht="18" hidden="1" customHeight="1" x14ac:dyDescent="0.3">
      <c r="A65" s="36" t="s">
        <v>188</v>
      </c>
      <c r="B65" s="45" t="s">
        <v>189</v>
      </c>
      <c r="C65" s="28" t="s">
        <v>197</v>
      </c>
      <c r="D65" s="24" t="s">
        <v>36</v>
      </c>
      <c r="E65" s="28" t="s">
        <v>258</v>
      </c>
      <c r="F65" s="41" t="s">
        <v>389</v>
      </c>
      <c r="G65" s="28" t="s">
        <v>444</v>
      </c>
    </row>
    <row r="66" spans="1:7" ht="18" hidden="1" customHeight="1" x14ac:dyDescent="0.3">
      <c r="A66" s="36" t="s">
        <v>188</v>
      </c>
      <c r="B66" s="45" t="s">
        <v>189</v>
      </c>
      <c r="C66" s="28" t="s">
        <v>197</v>
      </c>
      <c r="D66" s="24" t="s">
        <v>36</v>
      </c>
      <c r="E66" s="28" t="s">
        <v>81</v>
      </c>
      <c r="F66" s="41" t="s">
        <v>389</v>
      </c>
      <c r="G66" s="28" t="s">
        <v>445</v>
      </c>
    </row>
    <row r="67" spans="1:7" ht="18" hidden="1" customHeight="1" x14ac:dyDescent="0.3">
      <c r="A67" s="36" t="s">
        <v>188</v>
      </c>
      <c r="B67" s="45" t="s">
        <v>189</v>
      </c>
      <c r="C67" s="28" t="s">
        <v>197</v>
      </c>
      <c r="D67" s="24" t="s">
        <v>36</v>
      </c>
      <c r="E67" s="28" t="s">
        <v>177</v>
      </c>
      <c r="F67" s="41" t="s">
        <v>389</v>
      </c>
      <c r="G67" s="28" t="s">
        <v>444</v>
      </c>
    </row>
    <row r="68" spans="1:7" ht="18" hidden="1" customHeight="1" x14ac:dyDescent="0.3">
      <c r="A68" s="36" t="s">
        <v>188</v>
      </c>
      <c r="B68" s="45" t="s">
        <v>189</v>
      </c>
      <c r="C68" s="28" t="s">
        <v>197</v>
      </c>
      <c r="D68" s="24" t="s">
        <v>36</v>
      </c>
      <c r="E68" s="28" t="s">
        <v>41</v>
      </c>
      <c r="F68" s="41" t="s">
        <v>389</v>
      </c>
      <c r="G68" s="28" t="s">
        <v>446</v>
      </c>
    </row>
    <row r="69" spans="1:7" ht="18" hidden="1" customHeight="1" x14ac:dyDescent="0.3">
      <c r="A69" s="38" t="s">
        <v>254</v>
      </c>
      <c r="B69" s="44" t="s">
        <v>255</v>
      </c>
      <c r="C69" s="22" t="s">
        <v>268</v>
      </c>
      <c r="D69" s="24" t="s">
        <v>36</v>
      </c>
      <c r="E69" s="22" t="s">
        <v>45</v>
      </c>
      <c r="F69" s="43" t="s">
        <v>415</v>
      </c>
      <c r="G69" s="22" t="s">
        <v>447</v>
      </c>
    </row>
    <row r="70" spans="1:7" ht="18" hidden="1" customHeight="1" x14ac:dyDescent="0.3">
      <c r="A70" s="38" t="s">
        <v>254</v>
      </c>
      <c r="B70" s="44" t="s">
        <v>255</v>
      </c>
      <c r="C70" s="28" t="s">
        <v>269</v>
      </c>
      <c r="D70" s="24" t="s">
        <v>36</v>
      </c>
      <c r="E70" s="28" t="s">
        <v>270</v>
      </c>
      <c r="F70" s="41" t="s">
        <v>408</v>
      </c>
      <c r="G70" s="28" t="s">
        <v>448</v>
      </c>
    </row>
    <row r="71" spans="1:7" ht="18" hidden="1" customHeight="1" x14ac:dyDescent="0.3">
      <c r="A71" s="38" t="s">
        <v>254</v>
      </c>
      <c r="B71" s="44" t="s">
        <v>255</v>
      </c>
      <c r="C71" s="22" t="s">
        <v>271</v>
      </c>
      <c r="D71" s="24" t="s">
        <v>36</v>
      </c>
      <c r="E71" s="22" t="s">
        <v>45</v>
      </c>
      <c r="F71" s="43" t="s">
        <v>396</v>
      </c>
      <c r="G71" s="22" t="s">
        <v>449</v>
      </c>
    </row>
    <row r="72" spans="1:7" ht="18" hidden="1" customHeight="1" x14ac:dyDescent="0.3">
      <c r="A72" s="38" t="s">
        <v>254</v>
      </c>
      <c r="B72" s="44" t="s">
        <v>255</v>
      </c>
      <c r="C72" s="28" t="s">
        <v>272</v>
      </c>
      <c r="D72" s="24" t="s">
        <v>36</v>
      </c>
      <c r="E72" s="28" t="s">
        <v>45</v>
      </c>
      <c r="F72" s="41" t="s">
        <v>396</v>
      </c>
      <c r="G72" s="28" t="s">
        <v>450</v>
      </c>
    </row>
    <row r="73" spans="1:7" ht="18" hidden="1" customHeight="1" x14ac:dyDescent="0.3">
      <c r="A73" s="36" t="s">
        <v>188</v>
      </c>
      <c r="B73" s="45" t="s">
        <v>189</v>
      </c>
      <c r="C73" s="22" t="s">
        <v>199</v>
      </c>
      <c r="D73" s="24" t="s">
        <v>36</v>
      </c>
      <c r="E73" s="22" t="s">
        <v>263</v>
      </c>
      <c r="F73" s="43" t="s">
        <v>404</v>
      </c>
      <c r="G73" s="22" t="s">
        <v>451</v>
      </c>
    </row>
    <row r="74" spans="1:7" ht="18" hidden="1" customHeight="1" x14ac:dyDescent="0.3">
      <c r="A74" s="36" t="s">
        <v>188</v>
      </c>
      <c r="B74" s="45" t="s">
        <v>189</v>
      </c>
      <c r="C74" s="22" t="s">
        <v>199</v>
      </c>
      <c r="D74" s="24" t="s">
        <v>36</v>
      </c>
      <c r="E74" s="22" t="s">
        <v>45</v>
      </c>
      <c r="F74" s="43" t="s">
        <v>404</v>
      </c>
      <c r="G74" s="22" t="s">
        <v>451</v>
      </c>
    </row>
    <row r="75" spans="1:7" ht="18" hidden="1" customHeight="1" x14ac:dyDescent="0.3">
      <c r="A75" s="38" t="s">
        <v>254</v>
      </c>
      <c r="B75" s="44" t="s">
        <v>255</v>
      </c>
      <c r="C75" s="28" t="s">
        <v>273</v>
      </c>
      <c r="D75" s="24" t="s">
        <v>36</v>
      </c>
      <c r="E75" s="28" t="s">
        <v>45</v>
      </c>
      <c r="F75" s="41" t="s">
        <v>452</v>
      </c>
      <c r="G75" s="28" t="s">
        <v>453</v>
      </c>
    </row>
    <row r="76" spans="1:7" ht="18" hidden="1" customHeight="1" x14ac:dyDescent="0.3">
      <c r="A76" s="32" t="s">
        <v>101</v>
      </c>
      <c r="B76" s="42" t="s">
        <v>41</v>
      </c>
      <c r="C76" s="22" t="s">
        <v>109</v>
      </c>
      <c r="D76" s="29" t="s">
        <v>41</v>
      </c>
      <c r="E76" s="22" t="s">
        <v>41</v>
      </c>
      <c r="F76" s="43" t="s">
        <v>421</v>
      </c>
      <c r="G76" s="22" t="s">
        <v>454</v>
      </c>
    </row>
    <row r="77" spans="1:7" ht="18" hidden="1" customHeight="1" x14ac:dyDescent="0.3">
      <c r="A77" s="20" t="s">
        <v>32</v>
      </c>
      <c r="B77" s="46" t="s">
        <v>33</v>
      </c>
      <c r="C77" s="28" t="s">
        <v>42</v>
      </c>
      <c r="D77" s="29" t="s">
        <v>41</v>
      </c>
      <c r="E77" s="28" t="s">
        <v>41</v>
      </c>
      <c r="F77" s="41" t="s">
        <v>455</v>
      </c>
      <c r="G77" s="28" t="s">
        <v>456</v>
      </c>
    </row>
    <row r="78" spans="1:7" ht="18" hidden="1" customHeight="1" x14ac:dyDescent="0.3">
      <c r="A78" s="32" t="s">
        <v>101</v>
      </c>
      <c r="B78" s="42" t="s">
        <v>41</v>
      </c>
      <c r="C78" s="22" t="s">
        <v>110</v>
      </c>
      <c r="D78" s="29" t="s">
        <v>41</v>
      </c>
      <c r="E78" s="22" t="s">
        <v>41</v>
      </c>
      <c r="F78" s="43" t="s">
        <v>401</v>
      </c>
      <c r="G78" s="22" t="s">
        <v>457</v>
      </c>
    </row>
    <row r="79" spans="1:7" ht="18" hidden="1" customHeight="1" x14ac:dyDescent="0.3">
      <c r="A79" s="32" t="s">
        <v>101</v>
      </c>
      <c r="B79" s="42" t="s">
        <v>41</v>
      </c>
      <c r="C79" s="28" t="s">
        <v>111</v>
      </c>
      <c r="D79" s="29" t="s">
        <v>41</v>
      </c>
      <c r="E79" s="28" t="s">
        <v>41</v>
      </c>
      <c r="F79" s="41" t="s">
        <v>458</v>
      </c>
      <c r="G79" s="28" t="s">
        <v>459</v>
      </c>
    </row>
    <row r="80" spans="1:7" ht="18" hidden="1" customHeight="1" x14ac:dyDescent="0.3">
      <c r="A80" s="36" t="s">
        <v>188</v>
      </c>
      <c r="B80" s="45" t="s">
        <v>189</v>
      </c>
      <c r="C80" s="22" t="s">
        <v>200</v>
      </c>
      <c r="D80" s="24" t="s">
        <v>36</v>
      </c>
      <c r="E80" s="22" t="s">
        <v>270</v>
      </c>
      <c r="F80" s="43" t="s">
        <v>415</v>
      </c>
      <c r="G80" s="22" t="s">
        <v>460</v>
      </c>
    </row>
    <row r="81" spans="1:7" ht="18" hidden="1" customHeight="1" x14ac:dyDescent="0.3">
      <c r="A81" s="36" t="s">
        <v>188</v>
      </c>
      <c r="B81" s="45" t="s">
        <v>189</v>
      </c>
      <c r="C81" s="22" t="s">
        <v>200</v>
      </c>
      <c r="D81" s="24" t="s">
        <v>36</v>
      </c>
      <c r="E81" s="22" t="s">
        <v>263</v>
      </c>
      <c r="F81" s="43" t="s">
        <v>415</v>
      </c>
      <c r="G81" s="22" t="s">
        <v>460</v>
      </c>
    </row>
    <row r="82" spans="1:7" ht="18" hidden="1" customHeight="1" x14ac:dyDescent="0.3">
      <c r="A82" s="36" t="s">
        <v>188</v>
      </c>
      <c r="B82" s="45" t="s">
        <v>189</v>
      </c>
      <c r="C82" s="22" t="s">
        <v>200</v>
      </c>
      <c r="D82" s="24" t="s">
        <v>36</v>
      </c>
      <c r="E82" s="22" t="s">
        <v>45</v>
      </c>
      <c r="F82" s="43" t="s">
        <v>415</v>
      </c>
      <c r="G82" s="22" t="s">
        <v>460</v>
      </c>
    </row>
    <row r="83" spans="1:7" ht="18" hidden="1" customHeight="1" x14ac:dyDescent="0.3">
      <c r="A83" s="34" t="s">
        <v>157</v>
      </c>
      <c r="B83" s="40" t="s">
        <v>158</v>
      </c>
      <c r="C83" s="28" t="s">
        <v>165</v>
      </c>
      <c r="D83" s="24" t="s">
        <v>36</v>
      </c>
      <c r="E83" s="28" t="s">
        <v>81</v>
      </c>
      <c r="F83" s="41" t="s">
        <v>415</v>
      </c>
      <c r="G83" s="28" t="s">
        <v>461</v>
      </c>
    </row>
    <row r="84" spans="1:7" ht="18" hidden="1" customHeight="1" x14ac:dyDescent="0.3">
      <c r="A84" s="34" t="s">
        <v>157</v>
      </c>
      <c r="B84" s="40" t="s">
        <v>158</v>
      </c>
      <c r="C84" s="28" t="s">
        <v>165</v>
      </c>
      <c r="D84" s="24" t="s">
        <v>36</v>
      </c>
      <c r="E84" s="28" t="s">
        <v>45</v>
      </c>
      <c r="F84" s="41" t="s">
        <v>415</v>
      </c>
      <c r="G84" s="28" t="s">
        <v>461</v>
      </c>
    </row>
    <row r="85" spans="1:7" ht="18" hidden="1" customHeight="1" x14ac:dyDescent="0.3">
      <c r="A85" s="34" t="s">
        <v>157</v>
      </c>
      <c r="B85" s="40" t="s">
        <v>158</v>
      </c>
      <c r="C85" s="28" t="s">
        <v>165</v>
      </c>
      <c r="D85" s="29" t="s">
        <v>41</v>
      </c>
      <c r="E85" s="28" t="s">
        <v>41</v>
      </c>
      <c r="F85" s="41" t="s">
        <v>392</v>
      </c>
      <c r="G85" s="28" t="s">
        <v>462</v>
      </c>
    </row>
    <row r="86" spans="1:7" ht="18" hidden="1" customHeight="1" x14ac:dyDescent="0.3">
      <c r="A86" s="32" t="s">
        <v>101</v>
      </c>
      <c r="B86" s="42" t="s">
        <v>41</v>
      </c>
      <c r="C86" s="22" t="s">
        <v>112</v>
      </c>
      <c r="D86" s="29" t="s">
        <v>41</v>
      </c>
      <c r="E86" s="22" t="s">
        <v>41</v>
      </c>
      <c r="F86" s="43" t="s">
        <v>463</v>
      </c>
      <c r="G86" s="22" t="s">
        <v>464</v>
      </c>
    </row>
    <row r="87" spans="1:7" ht="18" hidden="1" customHeight="1" x14ac:dyDescent="0.3">
      <c r="A87" s="36" t="s">
        <v>188</v>
      </c>
      <c r="B87" s="45" t="s">
        <v>189</v>
      </c>
      <c r="C87" s="28" t="s">
        <v>202</v>
      </c>
      <c r="D87" s="24" t="s">
        <v>36</v>
      </c>
      <c r="E87" s="28" t="s">
        <v>263</v>
      </c>
      <c r="F87" s="41" t="s">
        <v>415</v>
      </c>
      <c r="G87" s="28" t="s">
        <v>465</v>
      </c>
    </row>
    <row r="88" spans="1:7" ht="18" hidden="1" customHeight="1" x14ac:dyDescent="0.3">
      <c r="A88" s="36" t="s">
        <v>188</v>
      </c>
      <c r="B88" s="45" t="s">
        <v>189</v>
      </c>
      <c r="C88" s="28" t="s">
        <v>202</v>
      </c>
      <c r="D88" s="24" t="s">
        <v>36</v>
      </c>
      <c r="E88" s="28" t="s">
        <v>45</v>
      </c>
      <c r="F88" s="41" t="s">
        <v>415</v>
      </c>
      <c r="G88" s="28" t="s">
        <v>465</v>
      </c>
    </row>
    <row r="89" spans="1:7" ht="18" hidden="1" customHeight="1" x14ac:dyDescent="0.3">
      <c r="A89" s="38" t="s">
        <v>254</v>
      </c>
      <c r="B89" s="44" t="s">
        <v>255</v>
      </c>
      <c r="C89" s="22" t="s">
        <v>274</v>
      </c>
      <c r="D89" s="24" t="s">
        <v>36</v>
      </c>
      <c r="E89" s="22" t="s">
        <v>81</v>
      </c>
      <c r="F89" s="43" t="s">
        <v>399</v>
      </c>
      <c r="G89" s="22" t="s">
        <v>466</v>
      </c>
    </row>
    <row r="90" spans="1:7" ht="18" hidden="1" customHeight="1" x14ac:dyDescent="0.3">
      <c r="A90" s="38" t="s">
        <v>254</v>
      </c>
      <c r="B90" s="44" t="s">
        <v>255</v>
      </c>
      <c r="C90" s="28" t="s">
        <v>275</v>
      </c>
      <c r="D90" s="24" t="s">
        <v>36</v>
      </c>
      <c r="E90" s="28" t="s">
        <v>45</v>
      </c>
      <c r="F90" s="41" t="s">
        <v>467</v>
      </c>
      <c r="G90" s="28" t="s">
        <v>468</v>
      </c>
    </row>
    <row r="91" spans="1:7" ht="18" customHeight="1" x14ac:dyDescent="0.3">
      <c r="A91" s="38" t="s">
        <v>254</v>
      </c>
      <c r="B91" s="44" t="s">
        <v>255</v>
      </c>
      <c r="C91" s="22" t="s">
        <v>276</v>
      </c>
      <c r="D91" s="24" t="s">
        <v>36</v>
      </c>
      <c r="E91" s="22" t="s">
        <v>81</v>
      </c>
      <c r="F91" s="43" t="s">
        <v>469</v>
      </c>
      <c r="G91" s="22" t="s">
        <v>470</v>
      </c>
    </row>
    <row r="92" spans="1:7" ht="18" customHeight="1" x14ac:dyDescent="0.3">
      <c r="A92" s="38" t="s">
        <v>254</v>
      </c>
      <c r="B92" s="44" t="s">
        <v>255</v>
      </c>
      <c r="C92" s="22" t="s">
        <v>276</v>
      </c>
      <c r="D92" s="24" t="s">
        <v>36</v>
      </c>
      <c r="E92" s="22" t="s">
        <v>45</v>
      </c>
      <c r="F92" s="43" t="s">
        <v>469</v>
      </c>
      <c r="G92" s="22" t="s">
        <v>470</v>
      </c>
    </row>
    <row r="93" spans="1:7" ht="18" customHeight="1" x14ac:dyDescent="0.3">
      <c r="A93" s="32" t="s">
        <v>101</v>
      </c>
      <c r="B93" s="42" t="s">
        <v>41</v>
      </c>
      <c r="C93" s="28" t="s">
        <v>113</v>
      </c>
      <c r="D93" s="29" t="s">
        <v>41</v>
      </c>
      <c r="E93" s="28" t="s">
        <v>41</v>
      </c>
      <c r="F93" s="41" t="s">
        <v>471</v>
      </c>
      <c r="G93" s="28" t="s">
        <v>472</v>
      </c>
    </row>
    <row r="94" spans="1:7" ht="18" hidden="1" customHeight="1" x14ac:dyDescent="0.3">
      <c r="A94" s="38" t="s">
        <v>254</v>
      </c>
      <c r="B94" s="44" t="s">
        <v>255</v>
      </c>
      <c r="C94" s="22" t="s">
        <v>277</v>
      </c>
      <c r="D94" s="24" t="s">
        <v>36</v>
      </c>
      <c r="E94" s="22" t="s">
        <v>81</v>
      </c>
      <c r="F94" s="43" t="s">
        <v>415</v>
      </c>
      <c r="G94" s="22" t="s">
        <v>473</v>
      </c>
    </row>
    <row r="95" spans="1:7" ht="18" hidden="1" customHeight="1" x14ac:dyDescent="0.3">
      <c r="A95" s="38" t="s">
        <v>254</v>
      </c>
      <c r="B95" s="44" t="s">
        <v>255</v>
      </c>
      <c r="C95" s="28" t="s">
        <v>278</v>
      </c>
      <c r="D95" s="24" t="s">
        <v>36</v>
      </c>
      <c r="E95" s="28" t="s">
        <v>270</v>
      </c>
      <c r="F95" s="41" t="s">
        <v>399</v>
      </c>
      <c r="G95" s="28" t="s">
        <v>474</v>
      </c>
    </row>
    <row r="96" spans="1:7" ht="18" hidden="1" customHeight="1" x14ac:dyDescent="0.3">
      <c r="A96" s="38" t="s">
        <v>254</v>
      </c>
      <c r="B96" s="44" t="s">
        <v>255</v>
      </c>
      <c r="C96" s="22" t="s">
        <v>279</v>
      </c>
      <c r="D96" s="24" t="s">
        <v>36</v>
      </c>
      <c r="E96" s="22" t="s">
        <v>45</v>
      </c>
      <c r="F96" s="43" t="s">
        <v>437</v>
      </c>
      <c r="G96" s="22" t="s">
        <v>475</v>
      </c>
    </row>
    <row r="97" spans="1:7" ht="18" hidden="1" customHeight="1" x14ac:dyDescent="0.3">
      <c r="A97" s="38" t="s">
        <v>254</v>
      </c>
      <c r="B97" s="44" t="s">
        <v>255</v>
      </c>
      <c r="C97" s="28" t="s">
        <v>280</v>
      </c>
      <c r="D97" s="24" t="s">
        <v>36</v>
      </c>
      <c r="E97" s="28" t="s">
        <v>41</v>
      </c>
      <c r="F97" s="41" t="s">
        <v>415</v>
      </c>
      <c r="G97" s="28" t="s">
        <v>476</v>
      </c>
    </row>
    <row r="98" spans="1:7" ht="18" hidden="1" customHeight="1" x14ac:dyDescent="0.3">
      <c r="A98" s="36" t="s">
        <v>188</v>
      </c>
      <c r="B98" s="45" t="s">
        <v>189</v>
      </c>
      <c r="C98" s="22" t="s">
        <v>203</v>
      </c>
      <c r="D98" s="24" t="s">
        <v>36</v>
      </c>
      <c r="E98" s="22" t="s">
        <v>270</v>
      </c>
      <c r="F98" s="43" t="s">
        <v>389</v>
      </c>
      <c r="G98" s="22" t="s">
        <v>477</v>
      </c>
    </row>
    <row r="99" spans="1:7" ht="18" hidden="1" customHeight="1" x14ac:dyDescent="0.3">
      <c r="A99" s="36" t="s">
        <v>188</v>
      </c>
      <c r="B99" s="45" t="s">
        <v>189</v>
      </c>
      <c r="C99" s="22" t="s">
        <v>203</v>
      </c>
      <c r="D99" s="24" t="s">
        <v>36</v>
      </c>
      <c r="E99" s="22" t="s">
        <v>258</v>
      </c>
      <c r="F99" s="43" t="s">
        <v>389</v>
      </c>
      <c r="G99" s="22" t="s">
        <v>477</v>
      </c>
    </row>
    <row r="100" spans="1:7" ht="18" hidden="1" customHeight="1" x14ac:dyDescent="0.3">
      <c r="A100" s="36" t="s">
        <v>188</v>
      </c>
      <c r="B100" s="45" t="s">
        <v>189</v>
      </c>
      <c r="C100" s="22" t="s">
        <v>203</v>
      </c>
      <c r="D100" s="24" t="s">
        <v>36</v>
      </c>
      <c r="E100" s="22" t="s">
        <v>263</v>
      </c>
      <c r="F100" s="43" t="s">
        <v>389</v>
      </c>
      <c r="G100" s="22" t="s">
        <v>477</v>
      </c>
    </row>
    <row r="101" spans="1:7" ht="18" hidden="1" customHeight="1" x14ac:dyDescent="0.3">
      <c r="A101" s="32" t="s">
        <v>101</v>
      </c>
      <c r="B101" s="42" t="s">
        <v>41</v>
      </c>
      <c r="C101" s="28" t="s">
        <v>114</v>
      </c>
      <c r="D101" s="29" t="s">
        <v>41</v>
      </c>
      <c r="E101" s="28" t="s">
        <v>41</v>
      </c>
      <c r="F101" s="41" t="s">
        <v>478</v>
      </c>
      <c r="G101" s="28" t="s">
        <v>479</v>
      </c>
    </row>
    <row r="102" spans="1:7" ht="18" hidden="1" customHeight="1" x14ac:dyDescent="0.3">
      <c r="A102" s="32" t="s">
        <v>101</v>
      </c>
      <c r="B102" s="42" t="s">
        <v>41</v>
      </c>
      <c r="C102" s="22" t="s">
        <v>115</v>
      </c>
      <c r="D102" s="29" t="s">
        <v>41</v>
      </c>
      <c r="E102" s="22" t="s">
        <v>41</v>
      </c>
      <c r="F102" s="43" t="s">
        <v>392</v>
      </c>
      <c r="G102" s="22" t="s">
        <v>480</v>
      </c>
    </row>
    <row r="103" spans="1:7" ht="18" hidden="1" customHeight="1" x14ac:dyDescent="0.3">
      <c r="A103" s="38" t="s">
        <v>254</v>
      </c>
      <c r="B103" s="44" t="s">
        <v>255</v>
      </c>
      <c r="C103" s="28" t="s">
        <v>281</v>
      </c>
      <c r="D103" s="24" t="s">
        <v>36</v>
      </c>
      <c r="E103" s="28" t="s">
        <v>45</v>
      </c>
      <c r="F103" s="41" t="s">
        <v>389</v>
      </c>
      <c r="G103" s="28" t="s">
        <v>481</v>
      </c>
    </row>
    <row r="104" spans="1:7" ht="18" hidden="1" customHeight="1" x14ac:dyDescent="0.3">
      <c r="A104" s="38" t="s">
        <v>254</v>
      </c>
      <c r="B104" s="44" t="s">
        <v>255</v>
      </c>
      <c r="C104" s="22" t="s">
        <v>282</v>
      </c>
      <c r="D104" s="24" t="s">
        <v>36</v>
      </c>
      <c r="E104" s="22" t="s">
        <v>263</v>
      </c>
      <c r="F104" s="43" t="s">
        <v>389</v>
      </c>
      <c r="G104" s="22" t="s">
        <v>482</v>
      </c>
    </row>
    <row r="105" spans="1:7" ht="18" hidden="1" customHeight="1" x14ac:dyDescent="0.3">
      <c r="A105" s="32" t="s">
        <v>101</v>
      </c>
      <c r="B105" s="42" t="s">
        <v>41</v>
      </c>
      <c r="C105" s="28" t="s">
        <v>116</v>
      </c>
      <c r="D105" s="29" t="s">
        <v>41</v>
      </c>
      <c r="E105" s="28" t="s">
        <v>41</v>
      </c>
      <c r="F105" s="41" t="s">
        <v>421</v>
      </c>
      <c r="G105" s="28" t="s">
        <v>483</v>
      </c>
    </row>
    <row r="106" spans="1:7" ht="18" hidden="1" customHeight="1" x14ac:dyDescent="0.3">
      <c r="A106" s="36" t="s">
        <v>188</v>
      </c>
      <c r="B106" s="45" t="s">
        <v>189</v>
      </c>
      <c r="C106" s="22" t="s">
        <v>205</v>
      </c>
      <c r="D106" s="24" t="s">
        <v>36</v>
      </c>
      <c r="E106" s="22" t="s">
        <v>258</v>
      </c>
      <c r="F106" s="43" t="s">
        <v>469</v>
      </c>
      <c r="G106" s="22" t="s">
        <v>484</v>
      </c>
    </row>
    <row r="107" spans="1:7" ht="18" hidden="1" customHeight="1" x14ac:dyDescent="0.3">
      <c r="A107" s="36" t="s">
        <v>188</v>
      </c>
      <c r="B107" s="45" t="s">
        <v>189</v>
      </c>
      <c r="C107" s="22" t="s">
        <v>205</v>
      </c>
      <c r="D107" s="24" t="s">
        <v>36</v>
      </c>
      <c r="E107" s="22" t="s">
        <v>81</v>
      </c>
      <c r="F107" s="43" t="s">
        <v>469</v>
      </c>
      <c r="G107" s="22" t="s">
        <v>484</v>
      </c>
    </row>
    <row r="108" spans="1:7" ht="18" hidden="1" customHeight="1" x14ac:dyDescent="0.3">
      <c r="A108" s="36" t="s">
        <v>188</v>
      </c>
      <c r="B108" s="45" t="s">
        <v>189</v>
      </c>
      <c r="C108" s="22" t="s">
        <v>205</v>
      </c>
      <c r="D108" s="24" t="s">
        <v>36</v>
      </c>
      <c r="E108" s="22" t="s">
        <v>177</v>
      </c>
      <c r="F108" s="43" t="s">
        <v>469</v>
      </c>
      <c r="G108" s="22" t="s">
        <v>484</v>
      </c>
    </row>
    <row r="109" spans="1:7" ht="18" hidden="1" customHeight="1" x14ac:dyDescent="0.3">
      <c r="A109" s="36" t="s">
        <v>188</v>
      </c>
      <c r="B109" s="45" t="s">
        <v>189</v>
      </c>
      <c r="C109" s="22" t="s">
        <v>205</v>
      </c>
      <c r="D109" s="24" t="s">
        <v>36</v>
      </c>
      <c r="E109" s="22" t="s">
        <v>263</v>
      </c>
      <c r="F109" s="43" t="s">
        <v>469</v>
      </c>
      <c r="G109" s="22" t="s">
        <v>484</v>
      </c>
    </row>
    <row r="110" spans="1:7" ht="18" hidden="1" customHeight="1" x14ac:dyDescent="0.3">
      <c r="A110" s="36" t="s">
        <v>188</v>
      </c>
      <c r="B110" s="45" t="s">
        <v>189</v>
      </c>
      <c r="C110" s="22" t="s">
        <v>205</v>
      </c>
      <c r="D110" s="24" t="s">
        <v>36</v>
      </c>
      <c r="E110" s="22" t="s">
        <v>45</v>
      </c>
      <c r="F110" s="43" t="s">
        <v>469</v>
      </c>
      <c r="G110" s="22" t="s">
        <v>484</v>
      </c>
    </row>
    <row r="111" spans="1:7" ht="18" hidden="1" customHeight="1" x14ac:dyDescent="0.3">
      <c r="A111" s="38" t="s">
        <v>254</v>
      </c>
      <c r="B111" s="44" t="s">
        <v>255</v>
      </c>
      <c r="C111" s="28" t="s">
        <v>283</v>
      </c>
      <c r="D111" s="24" t="s">
        <v>36</v>
      </c>
      <c r="E111" s="28" t="s">
        <v>177</v>
      </c>
      <c r="F111" s="41" t="s">
        <v>415</v>
      </c>
      <c r="G111" s="28" t="s">
        <v>485</v>
      </c>
    </row>
    <row r="112" spans="1:7" ht="18" hidden="1" customHeight="1" x14ac:dyDescent="0.3">
      <c r="A112" s="36" t="s">
        <v>188</v>
      </c>
      <c r="B112" s="45" t="s">
        <v>189</v>
      </c>
      <c r="C112" s="22" t="s">
        <v>207</v>
      </c>
      <c r="D112" s="24" t="s">
        <v>36</v>
      </c>
      <c r="E112" s="22" t="s">
        <v>81</v>
      </c>
      <c r="F112" s="43" t="s">
        <v>415</v>
      </c>
      <c r="G112" s="22" t="s">
        <v>486</v>
      </c>
    </row>
    <row r="113" spans="1:7" ht="18" hidden="1" customHeight="1" x14ac:dyDescent="0.3">
      <c r="A113" s="36" t="s">
        <v>188</v>
      </c>
      <c r="B113" s="45" t="s">
        <v>189</v>
      </c>
      <c r="C113" s="22" t="s">
        <v>207</v>
      </c>
      <c r="D113" s="24" t="s">
        <v>36</v>
      </c>
      <c r="E113" s="22" t="s">
        <v>177</v>
      </c>
      <c r="F113" s="43" t="s">
        <v>415</v>
      </c>
      <c r="G113" s="22" t="s">
        <v>486</v>
      </c>
    </row>
    <row r="114" spans="1:7" ht="18" hidden="1" customHeight="1" x14ac:dyDescent="0.3">
      <c r="A114" s="36" t="s">
        <v>188</v>
      </c>
      <c r="B114" s="45" t="s">
        <v>189</v>
      </c>
      <c r="C114" s="28" t="s">
        <v>208</v>
      </c>
      <c r="D114" s="24" t="s">
        <v>36</v>
      </c>
      <c r="E114" s="28" t="s">
        <v>81</v>
      </c>
      <c r="F114" s="41" t="s">
        <v>415</v>
      </c>
      <c r="G114" s="28" t="s">
        <v>487</v>
      </c>
    </row>
    <row r="115" spans="1:7" ht="18" hidden="1" customHeight="1" x14ac:dyDescent="0.3">
      <c r="A115" s="36" t="s">
        <v>188</v>
      </c>
      <c r="B115" s="45" t="s">
        <v>189</v>
      </c>
      <c r="C115" s="28" t="s">
        <v>208</v>
      </c>
      <c r="D115" s="24" t="s">
        <v>36</v>
      </c>
      <c r="E115" s="28" t="s">
        <v>45</v>
      </c>
      <c r="F115" s="41" t="s">
        <v>415</v>
      </c>
      <c r="G115" s="28" t="s">
        <v>487</v>
      </c>
    </row>
    <row r="116" spans="1:7" ht="18" hidden="1" customHeight="1" x14ac:dyDescent="0.3">
      <c r="A116" s="36" t="s">
        <v>188</v>
      </c>
      <c r="B116" s="45" t="s">
        <v>189</v>
      </c>
      <c r="C116" s="22" t="s">
        <v>209</v>
      </c>
      <c r="D116" s="24" t="s">
        <v>36</v>
      </c>
      <c r="E116" s="22" t="s">
        <v>263</v>
      </c>
      <c r="F116" s="43" t="s">
        <v>488</v>
      </c>
      <c r="G116" s="22" t="s">
        <v>489</v>
      </c>
    </row>
    <row r="117" spans="1:7" ht="18" hidden="1" customHeight="1" x14ac:dyDescent="0.3">
      <c r="A117" s="36" t="s">
        <v>188</v>
      </c>
      <c r="B117" s="45" t="s">
        <v>189</v>
      </c>
      <c r="C117" s="22" t="s">
        <v>209</v>
      </c>
      <c r="D117" s="24" t="s">
        <v>36</v>
      </c>
      <c r="E117" s="22" t="s">
        <v>45</v>
      </c>
      <c r="F117" s="43" t="s">
        <v>488</v>
      </c>
      <c r="G117" s="22" t="s">
        <v>489</v>
      </c>
    </row>
    <row r="118" spans="1:7" ht="18" hidden="1" customHeight="1" x14ac:dyDescent="0.3">
      <c r="A118" s="36" t="s">
        <v>188</v>
      </c>
      <c r="B118" s="45" t="s">
        <v>189</v>
      </c>
      <c r="C118" s="28" t="s">
        <v>210</v>
      </c>
      <c r="D118" s="24" t="s">
        <v>36</v>
      </c>
      <c r="E118" s="28" t="s">
        <v>263</v>
      </c>
      <c r="F118" s="41" t="s">
        <v>415</v>
      </c>
      <c r="G118" s="28" t="s">
        <v>490</v>
      </c>
    </row>
    <row r="119" spans="1:7" ht="18" hidden="1" customHeight="1" x14ac:dyDescent="0.3">
      <c r="A119" s="36" t="s">
        <v>188</v>
      </c>
      <c r="B119" s="45" t="s">
        <v>189</v>
      </c>
      <c r="C119" s="28" t="s">
        <v>210</v>
      </c>
      <c r="D119" s="24" t="s">
        <v>36</v>
      </c>
      <c r="E119" s="28" t="s">
        <v>45</v>
      </c>
      <c r="F119" s="41" t="s">
        <v>415</v>
      </c>
      <c r="G119" s="28" t="s">
        <v>490</v>
      </c>
    </row>
    <row r="120" spans="1:7" ht="18" hidden="1" customHeight="1" x14ac:dyDescent="0.3">
      <c r="A120" s="36" t="s">
        <v>188</v>
      </c>
      <c r="B120" s="45" t="s">
        <v>189</v>
      </c>
      <c r="C120" s="22" t="s">
        <v>211</v>
      </c>
      <c r="D120" s="24" t="s">
        <v>36</v>
      </c>
      <c r="E120" s="22" t="s">
        <v>270</v>
      </c>
      <c r="F120" s="43" t="s">
        <v>469</v>
      </c>
      <c r="G120" s="22" t="s">
        <v>491</v>
      </c>
    </row>
    <row r="121" spans="1:7" ht="18" hidden="1" customHeight="1" x14ac:dyDescent="0.3">
      <c r="A121" s="36" t="s">
        <v>188</v>
      </c>
      <c r="B121" s="45" t="s">
        <v>189</v>
      </c>
      <c r="C121" s="22" t="s">
        <v>211</v>
      </c>
      <c r="D121" s="24" t="s">
        <v>36</v>
      </c>
      <c r="E121" s="22" t="s">
        <v>81</v>
      </c>
      <c r="F121" s="43" t="s">
        <v>469</v>
      </c>
      <c r="G121" s="22" t="s">
        <v>491</v>
      </c>
    </row>
    <row r="122" spans="1:7" ht="18" hidden="1" customHeight="1" x14ac:dyDescent="0.3">
      <c r="A122" s="36" t="s">
        <v>188</v>
      </c>
      <c r="B122" s="45" t="s">
        <v>189</v>
      </c>
      <c r="C122" s="22" t="s">
        <v>211</v>
      </c>
      <c r="D122" s="24" t="s">
        <v>36</v>
      </c>
      <c r="E122" s="22" t="s">
        <v>263</v>
      </c>
      <c r="F122" s="43" t="s">
        <v>469</v>
      </c>
      <c r="G122" s="22" t="s">
        <v>491</v>
      </c>
    </row>
    <row r="123" spans="1:7" ht="18" hidden="1" customHeight="1" x14ac:dyDescent="0.3">
      <c r="A123" s="36" t="s">
        <v>188</v>
      </c>
      <c r="B123" s="45" t="s">
        <v>189</v>
      </c>
      <c r="C123" s="22" t="s">
        <v>211</v>
      </c>
      <c r="D123" s="24" t="s">
        <v>36</v>
      </c>
      <c r="E123" s="22" t="s">
        <v>45</v>
      </c>
      <c r="F123" s="43" t="s">
        <v>469</v>
      </c>
      <c r="G123" s="22" t="s">
        <v>491</v>
      </c>
    </row>
    <row r="124" spans="1:7" ht="18" hidden="1" customHeight="1" x14ac:dyDescent="0.3">
      <c r="A124" s="20" t="s">
        <v>32</v>
      </c>
      <c r="B124" s="46" t="s">
        <v>33</v>
      </c>
      <c r="C124" s="28" t="s">
        <v>43</v>
      </c>
      <c r="D124" s="24" t="s">
        <v>36</v>
      </c>
      <c r="E124" s="28" t="s">
        <v>45</v>
      </c>
      <c r="F124" s="41" t="s">
        <v>492</v>
      </c>
      <c r="G124" s="28" t="s">
        <v>493</v>
      </c>
    </row>
    <row r="125" spans="1:7" ht="18" hidden="1" customHeight="1" x14ac:dyDescent="0.3">
      <c r="A125" s="38" t="s">
        <v>254</v>
      </c>
      <c r="B125" s="44" t="s">
        <v>255</v>
      </c>
      <c r="C125" s="22" t="s">
        <v>284</v>
      </c>
      <c r="D125" s="24" t="s">
        <v>36</v>
      </c>
      <c r="E125" s="22" t="s">
        <v>45</v>
      </c>
      <c r="F125" s="43" t="s">
        <v>389</v>
      </c>
      <c r="G125" s="22" t="s">
        <v>494</v>
      </c>
    </row>
    <row r="126" spans="1:7" ht="18" hidden="1" customHeight="1" x14ac:dyDescent="0.3">
      <c r="A126" s="32" t="s">
        <v>101</v>
      </c>
      <c r="B126" s="42" t="s">
        <v>41</v>
      </c>
      <c r="C126" s="28" t="s">
        <v>117</v>
      </c>
      <c r="D126" s="29" t="s">
        <v>41</v>
      </c>
      <c r="E126" s="28" t="s">
        <v>41</v>
      </c>
      <c r="F126" s="41" t="s">
        <v>463</v>
      </c>
      <c r="G126" s="28"/>
    </row>
    <row r="127" spans="1:7" ht="18" hidden="1" customHeight="1" x14ac:dyDescent="0.3">
      <c r="A127" s="34" t="s">
        <v>157</v>
      </c>
      <c r="B127" s="40" t="s">
        <v>158</v>
      </c>
      <c r="C127" s="22" t="s">
        <v>166</v>
      </c>
      <c r="D127" s="24" t="s">
        <v>36</v>
      </c>
      <c r="E127" s="22" t="s">
        <v>167</v>
      </c>
      <c r="F127" s="43" t="s">
        <v>396</v>
      </c>
      <c r="G127" s="22" t="s">
        <v>495</v>
      </c>
    </row>
    <row r="128" spans="1:7" ht="18" hidden="1" customHeight="1" x14ac:dyDescent="0.3">
      <c r="A128" s="34" t="s">
        <v>157</v>
      </c>
      <c r="B128" s="40" t="s">
        <v>158</v>
      </c>
      <c r="C128" s="22" t="s">
        <v>166</v>
      </c>
      <c r="D128" s="29" t="s">
        <v>41</v>
      </c>
      <c r="E128" s="22" t="s">
        <v>41</v>
      </c>
      <c r="F128" s="43" t="s">
        <v>496</v>
      </c>
      <c r="G128" s="22" t="s">
        <v>497</v>
      </c>
    </row>
    <row r="129" spans="1:7" ht="18" hidden="1" customHeight="1" x14ac:dyDescent="0.3">
      <c r="A129" s="38" t="s">
        <v>254</v>
      </c>
      <c r="B129" s="44" t="s">
        <v>255</v>
      </c>
      <c r="C129" s="28" t="s">
        <v>285</v>
      </c>
      <c r="D129" s="24" t="s">
        <v>36</v>
      </c>
      <c r="E129" s="28" t="s">
        <v>45</v>
      </c>
      <c r="F129" s="41" t="s">
        <v>389</v>
      </c>
      <c r="G129" s="28" t="s">
        <v>498</v>
      </c>
    </row>
    <row r="130" spans="1:7" ht="18" hidden="1" customHeight="1" x14ac:dyDescent="0.3">
      <c r="A130" s="38" t="s">
        <v>254</v>
      </c>
      <c r="B130" s="44" t="s">
        <v>255</v>
      </c>
      <c r="C130" s="22" t="s">
        <v>286</v>
      </c>
      <c r="D130" s="24" t="s">
        <v>36</v>
      </c>
      <c r="E130" s="22" t="s">
        <v>45</v>
      </c>
      <c r="F130" s="43" t="s">
        <v>499</v>
      </c>
      <c r="G130" s="22" t="s">
        <v>500</v>
      </c>
    </row>
    <row r="131" spans="1:7" ht="18" hidden="1" customHeight="1" x14ac:dyDescent="0.3">
      <c r="A131" s="20" t="s">
        <v>32</v>
      </c>
      <c r="B131" s="46" t="s">
        <v>33</v>
      </c>
      <c r="C131" s="28" t="s">
        <v>46</v>
      </c>
      <c r="D131" s="29" t="s">
        <v>41</v>
      </c>
      <c r="E131" s="28" t="s">
        <v>41</v>
      </c>
      <c r="F131" s="41" t="s">
        <v>389</v>
      </c>
      <c r="G131" s="28" t="s">
        <v>501</v>
      </c>
    </row>
    <row r="132" spans="1:7" ht="18" hidden="1" customHeight="1" x14ac:dyDescent="0.3">
      <c r="A132" s="38" t="s">
        <v>254</v>
      </c>
      <c r="B132" s="44" t="s">
        <v>255</v>
      </c>
      <c r="C132" s="22" t="s">
        <v>287</v>
      </c>
      <c r="D132" s="24" t="s">
        <v>36</v>
      </c>
      <c r="E132" s="22" t="s">
        <v>45</v>
      </c>
      <c r="F132" s="43" t="s">
        <v>389</v>
      </c>
      <c r="G132" s="22" t="s">
        <v>502</v>
      </c>
    </row>
    <row r="133" spans="1:7" ht="18" hidden="1" customHeight="1" x14ac:dyDescent="0.3">
      <c r="A133" s="36" t="s">
        <v>188</v>
      </c>
      <c r="B133" s="45" t="s">
        <v>189</v>
      </c>
      <c r="C133" s="28" t="s">
        <v>213</v>
      </c>
      <c r="D133" s="24" t="s">
        <v>36</v>
      </c>
      <c r="E133" s="28" t="s">
        <v>263</v>
      </c>
      <c r="F133" s="41" t="s">
        <v>396</v>
      </c>
      <c r="G133" s="28" t="s">
        <v>503</v>
      </c>
    </row>
    <row r="134" spans="1:7" ht="18" hidden="1" customHeight="1" x14ac:dyDescent="0.3">
      <c r="A134" s="36" t="s">
        <v>188</v>
      </c>
      <c r="B134" s="45" t="s">
        <v>189</v>
      </c>
      <c r="C134" s="28" t="s">
        <v>213</v>
      </c>
      <c r="D134" s="24" t="s">
        <v>36</v>
      </c>
      <c r="E134" s="28" t="s">
        <v>45</v>
      </c>
      <c r="F134" s="41" t="s">
        <v>396</v>
      </c>
      <c r="G134" s="28" t="s">
        <v>503</v>
      </c>
    </row>
    <row r="135" spans="1:7" ht="18" hidden="1" customHeight="1" x14ac:dyDescent="0.3">
      <c r="A135" s="32" t="s">
        <v>101</v>
      </c>
      <c r="B135" s="42" t="s">
        <v>41</v>
      </c>
      <c r="C135" s="22" t="s">
        <v>118</v>
      </c>
      <c r="D135" s="29" t="s">
        <v>41</v>
      </c>
      <c r="E135" s="22" t="s">
        <v>41</v>
      </c>
      <c r="F135" s="43" t="s">
        <v>421</v>
      </c>
      <c r="G135" s="22" t="s">
        <v>504</v>
      </c>
    </row>
    <row r="136" spans="1:7" ht="18" hidden="1" customHeight="1" x14ac:dyDescent="0.3">
      <c r="A136" s="20" t="s">
        <v>32</v>
      </c>
      <c r="B136" s="46" t="s">
        <v>33</v>
      </c>
      <c r="C136" s="28" t="s">
        <v>48</v>
      </c>
      <c r="D136" s="24" t="s">
        <v>36</v>
      </c>
      <c r="E136" s="28" t="s">
        <v>270</v>
      </c>
      <c r="F136" s="41" t="s">
        <v>404</v>
      </c>
      <c r="G136" s="28" t="s">
        <v>505</v>
      </c>
    </row>
    <row r="137" spans="1:7" ht="18" hidden="1" customHeight="1" x14ac:dyDescent="0.3">
      <c r="A137" s="20" t="s">
        <v>32</v>
      </c>
      <c r="B137" s="46" t="s">
        <v>33</v>
      </c>
      <c r="C137" s="28" t="s">
        <v>48</v>
      </c>
      <c r="D137" s="24" t="s">
        <v>36</v>
      </c>
      <c r="E137" s="28" t="s">
        <v>81</v>
      </c>
      <c r="F137" s="41" t="s">
        <v>404</v>
      </c>
      <c r="G137" s="28" t="s">
        <v>505</v>
      </c>
    </row>
    <row r="138" spans="1:7" ht="18" hidden="1" customHeight="1" x14ac:dyDescent="0.3">
      <c r="A138" s="20" t="s">
        <v>32</v>
      </c>
      <c r="B138" s="46" t="s">
        <v>33</v>
      </c>
      <c r="C138" s="28" t="s">
        <v>48</v>
      </c>
      <c r="D138" s="24" t="s">
        <v>36</v>
      </c>
      <c r="E138" s="28" t="s">
        <v>167</v>
      </c>
      <c r="F138" s="41" t="s">
        <v>404</v>
      </c>
      <c r="G138" s="28" t="s">
        <v>506</v>
      </c>
    </row>
    <row r="139" spans="1:7" ht="18" hidden="1" customHeight="1" x14ac:dyDescent="0.3">
      <c r="A139" s="20" t="s">
        <v>32</v>
      </c>
      <c r="B139" s="46" t="s">
        <v>33</v>
      </c>
      <c r="C139" s="28" t="s">
        <v>48</v>
      </c>
      <c r="D139" s="24" t="s">
        <v>36</v>
      </c>
      <c r="E139" s="28" t="s">
        <v>177</v>
      </c>
      <c r="F139" s="41" t="s">
        <v>404</v>
      </c>
      <c r="G139" s="28" t="s">
        <v>505</v>
      </c>
    </row>
    <row r="140" spans="1:7" ht="18" hidden="1" customHeight="1" x14ac:dyDescent="0.3">
      <c r="A140" s="20" t="s">
        <v>32</v>
      </c>
      <c r="B140" s="46" t="s">
        <v>33</v>
      </c>
      <c r="C140" s="28" t="s">
        <v>48</v>
      </c>
      <c r="D140" s="24" t="s">
        <v>36</v>
      </c>
      <c r="E140" s="28" t="s">
        <v>263</v>
      </c>
      <c r="F140" s="41" t="s">
        <v>404</v>
      </c>
      <c r="G140" s="28" t="s">
        <v>505</v>
      </c>
    </row>
    <row r="141" spans="1:7" ht="18" hidden="1" customHeight="1" x14ac:dyDescent="0.3">
      <c r="A141" s="20" t="s">
        <v>32</v>
      </c>
      <c r="B141" s="46" t="s">
        <v>33</v>
      </c>
      <c r="C141" s="28" t="s">
        <v>48</v>
      </c>
      <c r="D141" s="24" t="s">
        <v>36</v>
      </c>
      <c r="E141" s="28" t="s">
        <v>507</v>
      </c>
      <c r="F141" s="41" t="s">
        <v>404</v>
      </c>
      <c r="G141" s="28" t="s">
        <v>508</v>
      </c>
    </row>
    <row r="142" spans="1:7" ht="18" hidden="1" customHeight="1" x14ac:dyDescent="0.3">
      <c r="A142" s="20" t="s">
        <v>32</v>
      </c>
      <c r="B142" s="46" t="s">
        <v>33</v>
      </c>
      <c r="C142" s="28" t="s">
        <v>48</v>
      </c>
      <c r="D142" s="24" t="s">
        <v>36</v>
      </c>
      <c r="E142" s="28" t="s">
        <v>45</v>
      </c>
      <c r="F142" s="41" t="s">
        <v>404</v>
      </c>
      <c r="G142" s="28" t="s">
        <v>505</v>
      </c>
    </row>
    <row r="143" spans="1:7" ht="18" hidden="1" customHeight="1" x14ac:dyDescent="0.3">
      <c r="A143" s="20" t="s">
        <v>32</v>
      </c>
      <c r="B143" s="46" t="s">
        <v>33</v>
      </c>
      <c r="C143" s="28" t="s">
        <v>48</v>
      </c>
      <c r="D143" s="29" t="s">
        <v>41</v>
      </c>
      <c r="E143" s="28" t="s">
        <v>41</v>
      </c>
      <c r="F143" s="41" t="s">
        <v>471</v>
      </c>
      <c r="G143" s="28" t="s">
        <v>509</v>
      </c>
    </row>
    <row r="144" spans="1:7" ht="18" hidden="1" customHeight="1" x14ac:dyDescent="0.3">
      <c r="A144" s="20" t="s">
        <v>32</v>
      </c>
      <c r="B144" s="46" t="s">
        <v>33</v>
      </c>
      <c r="C144" s="22" t="s">
        <v>51</v>
      </c>
      <c r="D144" s="24" t="s">
        <v>36</v>
      </c>
      <c r="E144" s="22" t="s">
        <v>41</v>
      </c>
      <c r="F144" s="43" t="s">
        <v>510</v>
      </c>
      <c r="G144" s="22" t="s">
        <v>511</v>
      </c>
    </row>
    <row r="145" spans="1:7" ht="18" hidden="1" customHeight="1" x14ac:dyDescent="0.3">
      <c r="A145" s="20" t="s">
        <v>32</v>
      </c>
      <c r="B145" s="46" t="s">
        <v>33</v>
      </c>
      <c r="C145" s="22" t="s">
        <v>51</v>
      </c>
      <c r="D145" s="24" t="s">
        <v>36</v>
      </c>
      <c r="E145" s="22" t="s">
        <v>45</v>
      </c>
      <c r="F145" s="43" t="s">
        <v>492</v>
      </c>
      <c r="G145" s="22" t="s">
        <v>512</v>
      </c>
    </row>
    <row r="146" spans="1:7" ht="18" hidden="1" customHeight="1" x14ac:dyDescent="0.3">
      <c r="A146" s="32" t="s">
        <v>101</v>
      </c>
      <c r="B146" s="42" t="s">
        <v>41</v>
      </c>
      <c r="C146" s="28" t="s">
        <v>119</v>
      </c>
      <c r="D146" s="29" t="s">
        <v>41</v>
      </c>
      <c r="E146" s="28" t="s">
        <v>41</v>
      </c>
      <c r="F146" s="41" t="s">
        <v>513</v>
      </c>
      <c r="G146" s="28" t="s">
        <v>514</v>
      </c>
    </row>
    <row r="147" spans="1:7" ht="18" hidden="1" customHeight="1" x14ac:dyDescent="0.3">
      <c r="A147" s="36" t="s">
        <v>188</v>
      </c>
      <c r="B147" s="45" t="s">
        <v>189</v>
      </c>
      <c r="C147" s="22" t="s">
        <v>214</v>
      </c>
      <c r="D147" s="24" t="s">
        <v>36</v>
      </c>
      <c r="E147" s="22" t="s">
        <v>81</v>
      </c>
      <c r="F147" s="43" t="s">
        <v>404</v>
      </c>
      <c r="G147" s="22" t="s">
        <v>515</v>
      </c>
    </row>
    <row r="148" spans="1:7" ht="18" hidden="1" customHeight="1" x14ac:dyDescent="0.3">
      <c r="A148" s="36" t="s">
        <v>188</v>
      </c>
      <c r="B148" s="45" t="s">
        <v>189</v>
      </c>
      <c r="C148" s="22" t="s">
        <v>214</v>
      </c>
      <c r="D148" s="24" t="s">
        <v>36</v>
      </c>
      <c r="E148" s="22" t="s">
        <v>45</v>
      </c>
      <c r="F148" s="43" t="s">
        <v>415</v>
      </c>
      <c r="G148" s="22" t="s">
        <v>516</v>
      </c>
    </row>
    <row r="149" spans="1:7" ht="18" hidden="1" customHeight="1" x14ac:dyDescent="0.3">
      <c r="A149" s="36" t="s">
        <v>188</v>
      </c>
      <c r="B149" s="45" t="s">
        <v>189</v>
      </c>
      <c r="C149" s="28" t="s">
        <v>215</v>
      </c>
      <c r="D149" s="24" t="s">
        <v>36</v>
      </c>
      <c r="E149" s="28" t="s">
        <v>81</v>
      </c>
      <c r="F149" s="41" t="s">
        <v>517</v>
      </c>
      <c r="G149" s="28" t="s">
        <v>518</v>
      </c>
    </row>
    <row r="150" spans="1:7" ht="18" hidden="1" customHeight="1" x14ac:dyDescent="0.3">
      <c r="A150" s="36" t="s">
        <v>188</v>
      </c>
      <c r="B150" s="45" t="s">
        <v>189</v>
      </c>
      <c r="C150" s="28" t="s">
        <v>215</v>
      </c>
      <c r="D150" s="24" t="s">
        <v>36</v>
      </c>
      <c r="E150" s="28" t="s">
        <v>177</v>
      </c>
      <c r="F150" s="41" t="s">
        <v>517</v>
      </c>
      <c r="G150" s="28" t="s">
        <v>518</v>
      </c>
    </row>
    <row r="151" spans="1:7" ht="18" hidden="1" customHeight="1" x14ac:dyDescent="0.3">
      <c r="A151" s="34" t="s">
        <v>157</v>
      </c>
      <c r="B151" s="40" t="s">
        <v>158</v>
      </c>
      <c r="C151" s="22" t="s">
        <v>168</v>
      </c>
      <c r="D151" s="24" t="s">
        <v>36</v>
      </c>
      <c r="E151" s="22" t="s">
        <v>45</v>
      </c>
      <c r="F151" s="43" t="s">
        <v>469</v>
      </c>
      <c r="G151" s="22" t="s">
        <v>519</v>
      </c>
    </row>
    <row r="152" spans="1:7" ht="18" hidden="1" customHeight="1" x14ac:dyDescent="0.3">
      <c r="A152" s="34" t="s">
        <v>157</v>
      </c>
      <c r="B152" s="40" t="s">
        <v>158</v>
      </c>
      <c r="C152" s="22" t="s">
        <v>168</v>
      </c>
      <c r="D152" s="29" t="s">
        <v>41</v>
      </c>
      <c r="E152" s="22" t="s">
        <v>41</v>
      </c>
      <c r="F152" s="43" t="s">
        <v>469</v>
      </c>
      <c r="G152" s="22" t="s">
        <v>520</v>
      </c>
    </row>
    <row r="153" spans="1:7" ht="18" hidden="1" customHeight="1" x14ac:dyDescent="0.3">
      <c r="A153" s="20" t="s">
        <v>32</v>
      </c>
      <c r="B153" s="46" t="s">
        <v>33</v>
      </c>
      <c r="C153" s="28" t="s">
        <v>53</v>
      </c>
      <c r="D153" s="24" t="s">
        <v>36</v>
      </c>
      <c r="E153" s="28" t="s">
        <v>258</v>
      </c>
      <c r="F153" s="41" t="s">
        <v>396</v>
      </c>
      <c r="G153" s="28" t="s">
        <v>521</v>
      </c>
    </row>
    <row r="154" spans="1:7" ht="18" hidden="1" customHeight="1" x14ac:dyDescent="0.3">
      <c r="A154" s="20" t="s">
        <v>32</v>
      </c>
      <c r="B154" s="46" t="s">
        <v>33</v>
      </c>
      <c r="C154" s="28" t="s">
        <v>53</v>
      </c>
      <c r="D154" s="24" t="s">
        <v>36</v>
      </c>
      <c r="E154" s="28" t="s">
        <v>81</v>
      </c>
      <c r="F154" s="41" t="s">
        <v>396</v>
      </c>
      <c r="G154" s="28" t="s">
        <v>521</v>
      </c>
    </row>
    <row r="155" spans="1:7" ht="18" hidden="1" customHeight="1" x14ac:dyDescent="0.3">
      <c r="A155" s="20" t="s">
        <v>32</v>
      </c>
      <c r="B155" s="46" t="s">
        <v>33</v>
      </c>
      <c r="C155" s="28" t="s">
        <v>53</v>
      </c>
      <c r="D155" s="24" t="s">
        <v>36</v>
      </c>
      <c r="E155" s="28" t="s">
        <v>177</v>
      </c>
      <c r="F155" s="41" t="s">
        <v>396</v>
      </c>
      <c r="G155" s="28" t="s">
        <v>521</v>
      </c>
    </row>
    <row r="156" spans="1:7" ht="18" hidden="1" customHeight="1" x14ac:dyDescent="0.3">
      <c r="A156" s="20" t="s">
        <v>32</v>
      </c>
      <c r="B156" s="46" t="s">
        <v>33</v>
      </c>
      <c r="C156" s="28" t="s">
        <v>53</v>
      </c>
      <c r="D156" s="24" t="s">
        <v>36</v>
      </c>
      <c r="E156" s="28" t="s">
        <v>41</v>
      </c>
      <c r="F156" s="41" t="s">
        <v>435</v>
      </c>
      <c r="G156" s="28" t="s">
        <v>521</v>
      </c>
    </row>
    <row r="157" spans="1:7" ht="18" hidden="1" customHeight="1" x14ac:dyDescent="0.3">
      <c r="A157" s="20" t="s">
        <v>32</v>
      </c>
      <c r="B157" s="46" t="s">
        <v>33</v>
      </c>
      <c r="C157" s="28" t="s">
        <v>53</v>
      </c>
      <c r="D157" s="24" t="s">
        <v>36</v>
      </c>
      <c r="E157" s="28" t="s">
        <v>263</v>
      </c>
      <c r="F157" s="41" t="s">
        <v>396</v>
      </c>
      <c r="G157" s="28" t="s">
        <v>521</v>
      </c>
    </row>
    <row r="158" spans="1:7" ht="18" hidden="1" customHeight="1" x14ac:dyDescent="0.3">
      <c r="A158" s="20" t="s">
        <v>32</v>
      </c>
      <c r="B158" s="46" t="s">
        <v>33</v>
      </c>
      <c r="C158" s="28" t="s">
        <v>53</v>
      </c>
      <c r="D158" s="24" t="s">
        <v>36</v>
      </c>
      <c r="E158" s="28" t="s">
        <v>45</v>
      </c>
      <c r="F158" s="41" t="s">
        <v>396</v>
      </c>
      <c r="G158" s="28" t="s">
        <v>521</v>
      </c>
    </row>
    <row r="159" spans="1:7" ht="18" hidden="1" customHeight="1" x14ac:dyDescent="0.3">
      <c r="A159" s="20" t="s">
        <v>32</v>
      </c>
      <c r="B159" s="46" t="s">
        <v>33</v>
      </c>
      <c r="C159" s="22" t="s">
        <v>56</v>
      </c>
      <c r="D159" s="24" t="s">
        <v>36</v>
      </c>
      <c r="E159" s="22" t="s">
        <v>522</v>
      </c>
      <c r="F159" s="43" t="s">
        <v>408</v>
      </c>
      <c r="G159" s="22" t="s">
        <v>523</v>
      </c>
    </row>
    <row r="160" spans="1:7" ht="18" hidden="1" customHeight="1" x14ac:dyDescent="0.3">
      <c r="A160" s="20" t="s">
        <v>32</v>
      </c>
      <c r="B160" s="46" t="s">
        <v>33</v>
      </c>
      <c r="C160" s="22" t="s">
        <v>56</v>
      </c>
      <c r="D160" s="24" t="s">
        <v>36</v>
      </c>
      <c r="E160" s="22" t="s">
        <v>41</v>
      </c>
      <c r="F160" s="43" t="s">
        <v>408</v>
      </c>
      <c r="G160" s="22" t="s">
        <v>524</v>
      </c>
    </row>
    <row r="161" spans="1:7" ht="18" hidden="1" customHeight="1" x14ac:dyDescent="0.3">
      <c r="A161" s="20" t="s">
        <v>32</v>
      </c>
      <c r="B161" s="46" t="s">
        <v>33</v>
      </c>
      <c r="C161" s="22" t="s">
        <v>56</v>
      </c>
      <c r="D161" s="24" t="s">
        <v>36</v>
      </c>
      <c r="E161" s="22" t="s">
        <v>263</v>
      </c>
      <c r="F161" s="43" t="s">
        <v>408</v>
      </c>
      <c r="G161" s="22" t="s">
        <v>524</v>
      </c>
    </row>
    <row r="162" spans="1:7" ht="18" hidden="1" customHeight="1" x14ac:dyDescent="0.3">
      <c r="A162" s="20" t="s">
        <v>32</v>
      </c>
      <c r="B162" s="46" t="s">
        <v>33</v>
      </c>
      <c r="C162" s="22" t="s">
        <v>56</v>
      </c>
      <c r="D162" s="24" t="s">
        <v>36</v>
      </c>
      <c r="E162" s="22" t="s">
        <v>45</v>
      </c>
      <c r="F162" s="43" t="s">
        <v>408</v>
      </c>
      <c r="G162" s="22" t="s">
        <v>524</v>
      </c>
    </row>
    <row r="163" spans="1:7" ht="18" hidden="1" customHeight="1" x14ac:dyDescent="0.3">
      <c r="A163" s="20" t="s">
        <v>32</v>
      </c>
      <c r="B163" s="46" t="s">
        <v>33</v>
      </c>
      <c r="C163" s="28" t="s">
        <v>58</v>
      </c>
      <c r="D163" s="24" t="s">
        <v>36</v>
      </c>
      <c r="E163" s="28" t="s">
        <v>41</v>
      </c>
      <c r="F163" s="41" t="s">
        <v>408</v>
      </c>
      <c r="G163" s="28" t="s">
        <v>525</v>
      </c>
    </row>
    <row r="164" spans="1:7" ht="18" hidden="1" customHeight="1" x14ac:dyDescent="0.3">
      <c r="A164" s="20" t="s">
        <v>32</v>
      </c>
      <c r="B164" s="46" t="s">
        <v>33</v>
      </c>
      <c r="C164" s="28" t="s">
        <v>58</v>
      </c>
      <c r="D164" s="24" t="s">
        <v>36</v>
      </c>
      <c r="E164" s="28" t="s">
        <v>263</v>
      </c>
      <c r="F164" s="41" t="s">
        <v>408</v>
      </c>
      <c r="G164" s="28" t="s">
        <v>525</v>
      </c>
    </row>
    <row r="165" spans="1:7" ht="18" hidden="1" customHeight="1" x14ac:dyDescent="0.3">
      <c r="A165" s="20" t="s">
        <v>32</v>
      </c>
      <c r="B165" s="46" t="s">
        <v>33</v>
      </c>
      <c r="C165" s="28" t="s">
        <v>58</v>
      </c>
      <c r="D165" s="24" t="s">
        <v>36</v>
      </c>
      <c r="E165" s="28" t="s">
        <v>45</v>
      </c>
      <c r="F165" s="41" t="s">
        <v>408</v>
      </c>
      <c r="G165" s="28" t="s">
        <v>525</v>
      </c>
    </row>
    <row r="166" spans="1:7" ht="18" hidden="1" customHeight="1" x14ac:dyDescent="0.3">
      <c r="A166" s="20" t="s">
        <v>32</v>
      </c>
      <c r="B166" s="46" t="s">
        <v>33</v>
      </c>
      <c r="C166" s="22" t="s">
        <v>60</v>
      </c>
      <c r="D166" s="24" t="s">
        <v>36</v>
      </c>
      <c r="E166" s="22" t="s">
        <v>263</v>
      </c>
      <c r="F166" s="43" t="s">
        <v>408</v>
      </c>
      <c r="G166" s="22" t="s">
        <v>526</v>
      </c>
    </row>
    <row r="167" spans="1:7" ht="18" hidden="1" customHeight="1" x14ac:dyDescent="0.3">
      <c r="A167" s="20" t="s">
        <v>32</v>
      </c>
      <c r="B167" s="46" t="s">
        <v>33</v>
      </c>
      <c r="C167" s="22" t="s">
        <v>60</v>
      </c>
      <c r="D167" s="24" t="s">
        <v>36</v>
      </c>
      <c r="E167" s="22" t="s">
        <v>45</v>
      </c>
      <c r="F167" s="43" t="s">
        <v>408</v>
      </c>
      <c r="G167" s="22" t="s">
        <v>526</v>
      </c>
    </row>
    <row r="168" spans="1:7" ht="18" hidden="1" customHeight="1" x14ac:dyDescent="0.3">
      <c r="A168" s="36" t="s">
        <v>188</v>
      </c>
      <c r="B168" s="45" t="s">
        <v>189</v>
      </c>
      <c r="C168" s="28" t="s">
        <v>216</v>
      </c>
      <c r="D168" s="24" t="s">
        <v>36</v>
      </c>
      <c r="E168" s="28" t="s">
        <v>263</v>
      </c>
      <c r="F168" s="41" t="s">
        <v>389</v>
      </c>
      <c r="G168" s="28" t="s">
        <v>527</v>
      </c>
    </row>
    <row r="169" spans="1:7" ht="18" hidden="1" customHeight="1" x14ac:dyDescent="0.3">
      <c r="A169" s="36" t="s">
        <v>188</v>
      </c>
      <c r="B169" s="45" t="s">
        <v>189</v>
      </c>
      <c r="C169" s="28" t="s">
        <v>216</v>
      </c>
      <c r="D169" s="24" t="s">
        <v>36</v>
      </c>
      <c r="E169" s="28" t="s">
        <v>45</v>
      </c>
      <c r="F169" s="41" t="s">
        <v>389</v>
      </c>
      <c r="G169" s="28" t="s">
        <v>527</v>
      </c>
    </row>
    <row r="170" spans="1:7" ht="18" hidden="1" customHeight="1" x14ac:dyDescent="0.3">
      <c r="A170" s="20" t="s">
        <v>32</v>
      </c>
      <c r="B170" s="46" t="s">
        <v>33</v>
      </c>
      <c r="C170" s="22" t="s">
        <v>62</v>
      </c>
      <c r="D170" s="29" t="s">
        <v>41</v>
      </c>
      <c r="E170" s="22" t="s">
        <v>41</v>
      </c>
      <c r="F170" s="43" t="s">
        <v>528</v>
      </c>
      <c r="G170" s="22" t="s">
        <v>529</v>
      </c>
    </row>
    <row r="171" spans="1:7" ht="18" hidden="1" customHeight="1" x14ac:dyDescent="0.3">
      <c r="A171" s="20" t="s">
        <v>32</v>
      </c>
      <c r="B171" s="46" t="s">
        <v>33</v>
      </c>
      <c r="C171" s="28" t="s">
        <v>64</v>
      </c>
      <c r="D171" s="24" t="s">
        <v>36</v>
      </c>
      <c r="E171" s="28" t="s">
        <v>258</v>
      </c>
      <c r="F171" s="41" t="s">
        <v>426</v>
      </c>
      <c r="G171" s="28" t="s">
        <v>530</v>
      </c>
    </row>
    <row r="172" spans="1:7" ht="18" hidden="1" customHeight="1" x14ac:dyDescent="0.3">
      <c r="A172" s="20" t="s">
        <v>32</v>
      </c>
      <c r="B172" s="46" t="s">
        <v>33</v>
      </c>
      <c r="C172" s="28" t="s">
        <v>64</v>
      </c>
      <c r="D172" s="24" t="s">
        <v>36</v>
      </c>
      <c r="E172" s="28" t="s">
        <v>531</v>
      </c>
      <c r="F172" s="41" t="s">
        <v>426</v>
      </c>
      <c r="G172" s="28" t="s">
        <v>530</v>
      </c>
    </row>
    <row r="173" spans="1:7" ht="18" hidden="1" customHeight="1" x14ac:dyDescent="0.3">
      <c r="A173" s="20" t="s">
        <v>32</v>
      </c>
      <c r="B173" s="46" t="s">
        <v>33</v>
      </c>
      <c r="C173" s="28" t="s">
        <v>64</v>
      </c>
      <c r="D173" s="24" t="s">
        <v>36</v>
      </c>
      <c r="E173" s="28" t="s">
        <v>532</v>
      </c>
      <c r="F173" s="41" t="s">
        <v>426</v>
      </c>
      <c r="G173" s="28" t="s">
        <v>530</v>
      </c>
    </row>
    <row r="174" spans="1:7" ht="18" hidden="1" customHeight="1" x14ac:dyDescent="0.3">
      <c r="A174" s="20" t="s">
        <v>32</v>
      </c>
      <c r="B174" s="46" t="s">
        <v>33</v>
      </c>
      <c r="C174" s="28" t="s">
        <v>64</v>
      </c>
      <c r="D174" s="24" t="s">
        <v>36</v>
      </c>
      <c r="E174" s="28" t="s">
        <v>81</v>
      </c>
      <c r="F174" s="41" t="s">
        <v>426</v>
      </c>
      <c r="G174" s="28" t="s">
        <v>530</v>
      </c>
    </row>
    <row r="175" spans="1:7" ht="18" hidden="1" customHeight="1" x14ac:dyDescent="0.3">
      <c r="A175" s="20" t="s">
        <v>32</v>
      </c>
      <c r="B175" s="46" t="s">
        <v>33</v>
      </c>
      <c r="C175" s="28" t="s">
        <v>64</v>
      </c>
      <c r="D175" s="24" t="s">
        <v>36</v>
      </c>
      <c r="E175" s="28" t="s">
        <v>177</v>
      </c>
      <c r="F175" s="41" t="s">
        <v>426</v>
      </c>
      <c r="G175" s="28" t="s">
        <v>530</v>
      </c>
    </row>
    <row r="176" spans="1:7" ht="18" hidden="1" customHeight="1" x14ac:dyDescent="0.3">
      <c r="A176" s="20" t="s">
        <v>32</v>
      </c>
      <c r="B176" s="46" t="s">
        <v>33</v>
      </c>
      <c r="C176" s="28" t="s">
        <v>64</v>
      </c>
      <c r="D176" s="24" t="s">
        <v>36</v>
      </c>
      <c r="E176" s="28" t="s">
        <v>533</v>
      </c>
      <c r="F176" s="41" t="s">
        <v>426</v>
      </c>
      <c r="G176" s="28" t="s">
        <v>530</v>
      </c>
    </row>
    <row r="177" spans="1:7" ht="18" hidden="1" customHeight="1" x14ac:dyDescent="0.3">
      <c r="A177" s="20" t="s">
        <v>32</v>
      </c>
      <c r="B177" s="46" t="s">
        <v>33</v>
      </c>
      <c r="C177" s="28" t="s">
        <v>64</v>
      </c>
      <c r="D177" s="24" t="s">
        <v>36</v>
      </c>
      <c r="E177" s="28" t="s">
        <v>41</v>
      </c>
      <c r="F177" s="41" t="s">
        <v>426</v>
      </c>
      <c r="G177" s="28" t="s">
        <v>530</v>
      </c>
    </row>
    <row r="178" spans="1:7" ht="18" hidden="1" customHeight="1" x14ac:dyDescent="0.3">
      <c r="A178" s="38" t="s">
        <v>254</v>
      </c>
      <c r="B178" s="44" t="s">
        <v>255</v>
      </c>
      <c r="C178" s="22" t="s">
        <v>288</v>
      </c>
      <c r="D178" s="24" t="s">
        <v>36</v>
      </c>
      <c r="E178" s="22" t="s">
        <v>45</v>
      </c>
      <c r="F178" s="43" t="s">
        <v>396</v>
      </c>
      <c r="G178" s="22" t="s">
        <v>534</v>
      </c>
    </row>
    <row r="179" spans="1:7" ht="18" hidden="1" customHeight="1" x14ac:dyDescent="0.3">
      <c r="A179" s="32" t="s">
        <v>101</v>
      </c>
      <c r="B179" s="42" t="s">
        <v>41</v>
      </c>
      <c r="C179" s="28" t="s">
        <v>120</v>
      </c>
      <c r="D179" s="29" t="s">
        <v>41</v>
      </c>
      <c r="E179" s="28" t="s">
        <v>41</v>
      </c>
      <c r="F179" s="41" t="s">
        <v>421</v>
      </c>
      <c r="G179" s="28" t="s">
        <v>535</v>
      </c>
    </row>
    <row r="180" spans="1:7" ht="18" hidden="1" customHeight="1" x14ac:dyDescent="0.3">
      <c r="A180" s="38" t="s">
        <v>254</v>
      </c>
      <c r="B180" s="44" t="s">
        <v>255</v>
      </c>
      <c r="C180" s="22" t="s">
        <v>289</v>
      </c>
      <c r="D180" s="24" t="s">
        <v>36</v>
      </c>
      <c r="E180" s="22" t="s">
        <v>45</v>
      </c>
      <c r="F180" s="43" t="s">
        <v>389</v>
      </c>
      <c r="G180" s="22" t="s">
        <v>536</v>
      </c>
    </row>
    <row r="181" spans="1:7" ht="18" hidden="1" customHeight="1" x14ac:dyDescent="0.3">
      <c r="A181" s="38" t="s">
        <v>254</v>
      </c>
      <c r="B181" s="44" t="s">
        <v>255</v>
      </c>
      <c r="C181" s="28" t="s">
        <v>290</v>
      </c>
      <c r="D181" s="24" t="s">
        <v>36</v>
      </c>
      <c r="E181" s="28" t="s">
        <v>45</v>
      </c>
      <c r="F181" s="41" t="s">
        <v>396</v>
      </c>
      <c r="G181" s="28" t="s">
        <v>537</v>
      </c>
    </row>
    <row r="182" spans="1:7" ht="18" hidden="1" customHeight="1" x14ac:dyDescent="0.3">
      <c r="A182" s="20" t="s">
        <v>32</v>
      </c>
      <c r="B182" s="46" t="s">
        <v>33</v>
      </c>
      <c r="C182" s="22" t="s">
        <v>66</v>
      </c>
      <c r="D182" s="24" t="s">
        <v>36</v>
      </c>
      <c r="E182" s="22" t="s">
        <v>81</v>
      </c>
      <c r="F182" s="43" t="s">
        <v>404</v>
      </c>
      <c r="G182" s="22" t="s">
        <v>538</v>
      </c>
    </row>
    <row r="183" spans="1:7" ht="18" hidden="1" customHeight="1" x14ac:dyDescent="0.3">
      <c r="A183" s="20" t="s">
        <v>32</v>
      </c>
      <c r="B183" s="46" t="s">
        <v>33</v>
      </c>
      <c r="C183" s="22" t="s">
        <v>66</v>
      </c>
      <c r="D183" s="24" t="s">
        <v>36</v>
      </c>
      <c r="E183" s="22" t="s">
        <v>167</v>
      </c>
      <c r="F183" s="43" t="s">
        <v>404</v>
      </c>
      <c r="G183" s="22" t="s">
        <v>538</v>
      </c>
    </row>
    <row r="184" spans="1:7" ht="18" hidden="1" customHeight="1" x14ac:dyDescent="0.3">
      <c r="A184" s="20" t="s">
        <v>32</v>
      </c>
      <c r="B184" s="46" t="s">
        <v>33</v>
      </c>
      <c r="C184" s="22" t="s">
        <v>66</v>
      </c>
      <c r="D184" s="24" t="s">
        <v>36</v>
      </c>
      <c r="E184" s="22" t="s">
        <v>263</v>
      </c>
      <c r="F184" s="43" t="s">
        <v>404</v>
      </c>
      <c r="G184" s="22" t="s">
        <v>538</v>
      </c>
    </row>
    <row r="185" spans="1:7" ht="18" hidden="1" customHeight="1" x14ac:dyDescent="0.3">
      <c r="A185" s="20" t="s">
        <v>32</v>
      </c>
      <c r="B185" s="46" t="s">
        <v>33</v>
      </c>
      <c r="C185" s="22" t="s">
        <v>66</v>
      </c>
      <c r="D185" s="24" t="s">
        <v>36</v>
      </c>
      <c r="E185" s="22" t="s">
        <v>45</v>
      </c>
      <c r="F185" s="43" t="s">
        <v>404</v>
      </c>
      <c r="G185" s="22" t="s">
        <v>538</v>
      </c>
    </row>
    <row r="186" spans="1:7" ht="18" hidden="1" customHeight="1" x14ac:dyDescent="0.3">
      <c r="A186" s="38" t="s">
        <v>254</v>
      </c>
      <c r="B186" s="44" t="s">
        <v>255</v>
      </c>
      <c r="C186" s="28" t="s">
        <v>291</v>
      </c>
      <c r="D186" s="24" t="s">
        <v>36</v>
      </c>
      <c r="E186" s="28" t="s">
        <v>177</v>
      </c>
      <c r="F186" s="41" t="s">
        <v>415</v>
      </c>
      <c r="G186" s="28" t="s">
        <v>539</v>
      </c>
    </row>
    <row r="187" spans="1:7" ht="18" hidden="1" customHeight="1" x14ac:dyDescent="0.3">
      <c r="A187" s="38" t="s">
        <v>254</v>
      </c>
      <c r="B187" s="44" t="s">
        <v>255</v>
      </c>
      <c r="C187" s="22" t="s">
        <v>292</v>
      </c>
      <c r="D187" s="24" t="s">
        <v>36</v>
      </c>
      <c r="E187" s="22" t="s">
        <v>81</v>
      </c>
      <c r="F187" s="43" t="s">
        <v>415</v>
      </c>
      <c r="G187" s="22" t="s">
        <v>540</v>
      </c>
    </row>
    <row r="188" spans="1:7" ht="18" hidden="1" customHeight="1" x14ac:dyDescent="0.3">
      <c r="A188" s="38" t="s">
        <v>254</v>
      </c>
      <c r="B188" s="44" t="s">
        <v>255</v>
      </c>
      <c r="C188" s="28" t="s">
        <v>293</v>
      </c>
      <c r="D188" s="24" t="s">
        <v>36</v>
      </c>
      <c r="E188" s="28" t="s">
        <v>45</v>
      </c>
      <c r="F188" s="41" t="s">
        <v>410</v>
      </c>
      <c r="G188" s="28" t="s">
        <v>541</v>
      </c>
    </row>
    <row r="189" spans="1:7" ht="18" hidden="1" customHeight="1" x14ac:dyDescent="0.3">
      <c r="A189" s="38" t="s">
        <v>254</v>
      </c>
      <c r="B189" s="44" t="s">
        <v>255</v>
      </c>
      <c r="C189" s="22" t="s">
        <v>294</v>
      </c>
      <c r="D189" s="24" t="s">
        <v>36</v>
      </c>
      <c r="E189" s="22" t="s">
        <v>270</v>
      </c>
      <c r="F189" s="43" t="s">
        <v>399</v>
      </c>
      <c r="G189" s="22" t="s">
        <v>542</v>
      </c>
    </row>
    <row r="190" spans="1:7" ht="18" hidden="1" customHeight="1" x14ac:dyDescent="0.3">
      <c r="A190" s="38" t="s">
        <v>254</v>
      </c>
      <c r="B190" s="44" t="s">
        <v>255</v>
      </c>
      <c r="C190" s="28" t="s">
        <v>295</v>
      </c>
      <c r="D190" s="24" t="s">
        <v>36</v>
      </c>
      <c r="E190" s="28" t="s">
        <v>45</v>
      </c>
      <c r="F190" s="41" t="s">
        <v>426</v>
      </c>
      <c r="G190" s="28" t="s">
        <v>543</v>
      </c>
    </row>
    <row r="191" spans="1:7" ht="18" hidden="1" customHeight="1" x14ac:dyDescent="0.3">
      <c r="A191" s="38" t="s">
        <v>254</v>
      </c>
      <c r="B191" s="44" t="s">
        <v>255</v>
      </c>
      <c r="C191" s="22" t="s">
        <v>296</v>
      </c>
      <c r="D191" s="24" t="s">
        <v>36</v>
      </c>
      <c r="E191" s="22" t="s">
        <v>45</v>
      </c>
      <c r="F191" s="43" t="s">
        <v>408</v>
      </c>
      <c r="G191" s="22" t="s">
        <v>544</v>
      </c>
    </row>
    <row r="192" spans="1:7" ht="18" hidden="1" customHeight="1" x14ac:dyDescent="0.3">
      <c r="A192" s="32" t="s">
        <v>101</v>
      </c>
      <c r="B192" s="42" t="s">
        <v>41</v>
      </c>
      <c r="C192" s="28" t="s">
        <v>121</v>
      </c>
      <c r="D192" s="29" t="s">
        <v>41</v>
      </c>
      <c r="E192" s="28" t="s">
        <v>41</v>
      </c>
      <c r="F192" s="41" t="s">
        <v>392</v>
      </c>
      <c r="G192" s="28" t="s">
        <v>545</v>
      </c>
    </row>
    <row r="193" spans="1:7" ht="18" hidden="1" customHeight="1" x14ac:dyDescent="0.3">
      <c r="A193" s="20" t="s">
        <v>32</v>
      </c>
      <c r="B193" s="46" t="s">
        <v>33</v>
      </c>
      <c r="C193" s="22" t="s">
        <v>68</v>
      </c>
      <c r="D193" s="24" t="s">
        <v>36</v>
      </c>
      <c r="E193" s="22" t="s">
        <v>81</v>
      </c>
      <c r="F193" s="43" t="s">
        <v>546</v>
      </c>
      <c r="G193" s="22" t="s">
        <v>547</v>
      </c>
    </row>
    <row r="194" spans="1:7" ht="18" hidden="1" customHeight="1" x14ac:dyDescent="0.3">
      <c r="A194" s="20" t="s">
        <v>32</v>
      </c>
      <c r="B194" s="46" t="s">
        <v>33</v>
      </c>
      <c r="C194" s="22" t="s">
        <v>68</v>
      </c>
      <c r="D194" s="24" t="s">
        <v>36</v>
      </c>
      <c r="E194" s="22" t="s">
        <v>177</v>
      </c>
      <c r="F194" s="43" t="s">
        <v>399</v>
      </c>
      <c r="G194" s="22" t="s">
        <v>548</v>
      </c>
    </row>
    <row r="195" spans="1:7" ht="18" hidden="1" customHeight="1" x14ac:dyDescent="0.3">
      <c r="A195" s="20" t="s">
        <v>32</v>
      </c>
      <c r="B195" s="46" t="s">
        <v>33</v>
      </c>
      <c r="C195" s="22" t="s">
        <v>68</v>
      </c>
      <c r="D195" s="24" t="s">
        <v>36</v>
      </c>
      <c r="E195" s="22" t="s">
        <v>45</v>
      </c>
      <c r="F195" s="43" t="s">
        <v>399</v>
      </c>
      <c r="G195" s="22" t="s">
        <v>548</v>
      </c>
    </row>
    <row r="196" spans="1:7" ht="18" hidden="1" customHeight="1" x14ac:dyDescent="0.3">
      <c r="A196" s="34" t="s">
        <v>157</v>
      </c>
      <c r="B196" s="40" t="s">
        <v>158</v>
      </c>
      <c r="C196" s="28" t="s">
        <v>169</v>
      </c>
      <c r="D196" s="24" t="s">
        <v>36</v>
      </c>
      <c r="E196" s="28" t="s">
        <v>167</v>
      </c>
      <c r="F196" s="41" t="s">
        <v>458</v>
      </c>
      <c r="G196" s="28" t="s">
        <v>549</v>
      </c>
    </row>
    <row r="197" spans="1:7" ht="18" hidden="1" customHeight="1" x14ac:dyDescent="0.3">
      <c r="A197" s="34" t="s">
        <v>157</v>
      </c>
      <c r="B197" s="40" t="s">
        <v>158</v>
      </c>
      <c r="C197" s="28" t="s">
        <v>169</v>
      </c>
      <c r="D197" s="24" t="s">
        <v>36</v>
      </c>
      <c r="E197" s="28" t="s">
        <v>177</v>
      </c>
      <c r="F197" s="41" t="s">
        <v>458</v>
      </c>
      <c r="G197" s="28" t="s">
        <v>549</v>
      </c>
    </row>
    <row r="198" spans="1:7" ht="18" hidden="1" customHeight="1" x14ac:dyDescent="0.3">
      <c r="A198" s="34" t="s">
        <v>157</v>
      </c>
      <c r="B198" s="40" t="s">
        <v>158</v>
      </c>
      <c r="C198" s="28" t="s">
        <v>169</v>
      </c>
      <c r="D198" s="24" t="s">
        <v>36</v>
      </c>
      <c r="E198" s="28" t="s">
        <v>45</v>
      </c>
      <c r="F198" s="41" t="s">
        <v>458</v>
      </c>
      <c r="G198" s="28" t="s">
        <v>549</v>
      </c>
    </row>
    <row r="199" spans="1:7" ht="18" hidden="1" customHeight="1" x14ac:dyDescent="0.3">
      <c r="A199" s="34" t="s">
        <v>157</v>
      </c>
      <c r="B199" s="40" t="s">
        <v>158</v>
      </c>
      <c r="C199" s="28" t="s">
        <v>169</v>
      </c>
      <c r="D199" s="29" t="s">
        <v>41</v>
      </c>
      <c r="E199" s="28" t="s">
        <v>41</v>
      </c>
      <c r="F199" s="41" t="s">
        <v>392</v>
      </c>
      <c r="G199" s="28" t="s">
        <v>550</v>
      </c>
    </row>
    <row r="200" spans="1:7" ht="18" hidden="1" customHeight="1" x14ac:dyDescent="0.3">
      <c r="A200" s="38" t="s">
        <v>254</v>
      </c>
      <c r="B200" s="44" t="s">
        <v>255</v>
      </c>
      <c r="C200" s="22" t="s">
        <v>297</v>
      </c>
      <c r="D200" s="24" t="s">
        <v>36</v>
      </c>
      <c r="E200" s="22" t="s">
        <v>45</v>
      </c>
      <c r="F200" s="43" t="s">
        <v>488</v>
      </c>
      <c r="G200" s="22" t="s">
        <v>551</v>
      </c>
    </row>
    <row r="201" spans="1:7" ht="18" hidden="1" customHeight="1" x14ac:dyDescent="0.3">
      <c r="A201" s="38" t="s">
        <v>254</v>
      </c>
      <c r="B201" s="44" t="s">
        <v>255</v>
      </c>
      <c r="C201" s="28" t="s">
        <v>298</v>
      </c>
      <c r="D201" s="24" t="s">
        <v>36</v>
      </c>
      <c r="E201" s="28" t="s">
        <v>167</v>
      </c>
      <c r="F201" s="41" t="s">
        <v>396</v>
      </c>
      <c r="G201" s="28" t="s">
        <v>552</v>
      </c>
    </row>
    <row r="202" spans="1:7" ht="18" hidden="1" customHeight="1" x14ac:dyDescent="0.3">
      <c r="A202" s="36" t="s">
        <v>188</v>
      </c>
      <c r="B202" s="45" t="s">
        <v>189</v>
      </c>
      <c r="C202" s="22" t="s">
        <v>217</v>
      </c>
      <c r="D202" s="24" t="s">
        <v>36</v>
      </c>
      <c r="E202" s="22" t="s">
        <v>258</v>
      </c>
      <c r="F202" s="43" t="s">
        <v>410</v>
      </c>
      <c r="G202" s="22" t="s">
        <v>553</v>
      </c>
    </row>
    <row r="203" spans="1:7" ht="18" hidden="1" customHeight="1" x14ac:dyDescent="0.3">
      <c r="A203" s="36" t="s">
        <v>188</v>
      </c>
      <c r="B203" s="45" t="s">
        <v>189</v>
      </c>
      <c r="C203" s="22" t="s">
        <v>217</v>
      </c>
      <c r="D203" s="24" t="s">
        <v>36</v>
      </c>
      <c r="E203" s="22" t="s">
        <v>45</v>
      </c>
      <c r="F203" s="43" t="s">
        <v>410</v>
      </c>
      <c r="G203" s="22" t="s">
        <v>553</v>
      </c>
    </row>
    <row r="204" spans="1:7" ht="18" hidden="1" customHeight="1" x14ac:dyDescent="0.3">
      <c r="A204" s="38" t="s">
        <v>254</v>
      </c>
      <c r="B204" s="44" t="s">
        <v>255</v>
      </c>
      <c r="C204" s="28" t="s">
        <v>299</v>
      </c>
      <c r="D204" s="24" t="s">
        <v>36</v>
      </c>
      <c r="E204" s="28" t="s">
        <v>177</v>
      </c>
      <c r="F204" s="41" t="s">
        <v>415</v>
      </c>
      <c r="G204" s="28" t="s">
        <v>554</v>
      </c>
    </row>
    <row r="205" spans="1:7" ht="18" hidden="1" customHeight="1" x14ac:dyDescent="0.3">
      <c r="A205" s="36" t="s">
        <v>188</v>
      </c>
      <c r="B205" s="45" t="s">
        <v>189</v>
      </c>
      <c r="C205" s="22" t="s">
        <v>219</v>
      </c>
      <c r="D205" s="24" t="s">
        <v>36</v>
      </c>
      <c r="E205" s="22" t="s">
        <v>263</v>
      </c>
      <c r="F205" s="43" t="s">
        <v>415</v>
      </c>
      <c r="G205" s="22" t="s">
        <v>554</v>
      </c>
    </row>
    <row r="206" spans="1:7" ht="18" hidden="1" customHeight="1" x14ac:dyDescent="0.3">
      <c r="A206" s="36" t="s">
        <v>188</v>
      </c>
      <c r="B206" s="45" t="s">
        <v>189</v>
      </c>
      <c r="C206" s="22" t="s">
        <v>219</v>
      </c>
      <c r="D206" s="24" t="s">
        <v>36</v>
      </c>
      <c r="E206" s="22" t="s">
        <v>45</v>
      </c>
      <c r="F206" s="43" t="s">
        <v>415</v>
      </c>
      <c r="G206" s="22" t="s">
        <v>554</v>
      </c>
    </row>
    <row r="207" spans="1:7" ht="18" hidden="1" customHeight="1" x14ac:dyDescent="0.3">
      <c r="A207" s="32" t="s">
        <v>101</v>
      </c>
      <c r="B207" s="42" t="s">
        <v>41</v>
      </c>
      <c r="C207" s="28" t="s">
        <v>122</v>
      </c>
      <c r="D207" s="29" t="s">
        <v>41</v>
      </c>
      <c r="E207" s="28" t="s">
        <v>41</v>
      </c>
      <c r="F207" s="41" t="s">
        <v>392</v>
      </c>
      <c r="G207" s="28" t="s">
        <v>555</v>
      </c>
    </row>
    <row r="208" spans="1:7" ht="18" hidden="1" customHeight="1" x14ac:dyDescent="0.3">
      <c r="A208" s="36" t="s">
        <v>188</v>
      </c>
      <c r="B208" s="45" t="s">
        <v>189</v>
      </c>
      <c r="C208" s="22" t="s">
        <v>220</v>
      </c>
      <c r="D208" s="24" t="s">
        <v>36</v>
      </c>
      <c r="E208" s="22" t="s">
        <v>81</v>
      </c>
      <c r="F208" s="43" t="s">
        <v>389</v>
      </c>
      <c r="G208" s="22" t="s">
        <v>556</v>
      </c>
    </row>
    <row r="209" spans="1:7" ht="18" hidden="1" customHeight="1" x14ac:dyDescent="0.3">
      <c r="A209" s="36" t="s">
        <v>188</v>
      </c>
      <c r="B209" s="45" t="s">
        <v>189</v>
      </c>
      <c r="C209" s="22" t="s">
        <v>220</v>
      </c>
      <c r="D209" s="24" t="s">
        <v>36</v>
      </c>
      <c r="E209" s="22" t="s">
        <v>167</v>
      </c>
      <c r="F209" s="43" t="s">
        <v>389</v>
      </c>
      <c r="G209" s="22" t="s">
        <v>556</v>
      </c>
    </row>
    <row r="210" spans="1:7" ht="18" hidden="1" customHeight="1" x14ac:dyDescent="0.3">
      <c r="A210" s="32" t="s">
        <v>101</v>
      </c>
      <c r="B210" s="42" t="s">
        <v>41</v>
      </c>
      <c r="C210" s="28" t="s">
        <v>123</v>
      </c>
      <c r="D210" s="29" t="s">
        <v>41</v>
      </c>
      <c r="E210" s="28" t="s">
        <v>41</v>
      </c>
      <c r="F210" s="41" t="s">
        <v>557</v>
      </c>
      <c r="G210" s="28" t="s">
        <v>558</v>
      </c>
    </row>
    <row r="211" spans="1:7" ht="18" hidden="1" customHeight="1" x14ac:dyDescent="0.3">
      <c r="A211" s="32" t="s">
        <v>101</v>
      </c>
      <c r="B211" s="42" t="s">
        <v>41</v>
      </c>
      <c r="C211" s="22" t="s">
        <v>124</v>
      </c>
      <c r="D211" s="29" t="s">
        <v>41</v>
      </c>
      <c r="E211" s="22" t="s">
        <v>41</v>
      </c>
      <c r="F211" s="43" t="s">
        <v>559</v>
      </c>
      <c r="G211" s="22" t="s">
        <v>560</v>
      </c>
    </row>
    <row r="212" spans="1:7" ht="18" hidden="1" customHeight="1" x14ac:dyDescent="0.3">
      <c r="A212" s="36" t="s">
        <v>188</v>
      </c>
      <c r="B212" s="45" t="s">
        <v>189</v>
      </c>
      <c r="C212" s="28" t="s">
        <v>222</v>
      </c>
      <c r="D212" s="24" t="s">
        <v>36</v>
      </c>
      <c r="E212" s="28" t="s">
        <v>258</v>
      </c>
      <c r="F212" s="41" t="s">
        <v>415</v>
      </c>
      <c r="G212" s="28" t="s">
        <v>561</v>
      </c>
    </row>
    <row r="213" spans="1:7" ht="18" hidden="1" customHeight="1" x14ac:dyDescent="0.3">
      <c r="A213" s="36" t="s">
        <v>188</v>
      </c>
      <c r="B213" s="45" t="s">
        <v>189</v>
      </c>
      <c r="C213" s="28" t="s">
        <v>222</v>
      </c>
      <c r="D213" s="24" t="s">
        <v>36</v>
      </c>
      <c r="E213" s="28" t="s">
        <v>81</v>
      </c>
      <c r="F213" s="41" t="s">
        <v>415</v>
      </c>
      <c r="G213" s="28" t="s">
        <v>561</v>
      </c>
    </row>
    <row r="214" spans="1:7" ht="18" hidden="1" customHeight="1" x14ac:dyDescent="0.3">
      <c r="A214" s="36" t="s">
        <v>188</v>
      </c>
      <c r="B214" s="45" t="s">
        <v>189</v>
      </c>
      <c r="C214" s="22" t="s">
        <v>224</v>
      </c>
      <c r="D214" s="24" t="s">
        <v>36</v>
      </c>
      <c r="E214" s="22" t="s">
        <v>263</v>
      </c>
      <c r="F214" s="43" t="s">
        <v>458</v>
      </c>
      <c r="G214" s="22" t="s">
        <v>562</v>
      </c>
    </row>
    <row r="215" spans="1:7" ht="18" hidden="1" customHeight="1" x14ac:dyDescent="0.3">
      <c r="A215" s="36" t="s">
        <v>188</v>
      </c>
      <c r="B215" s="45" t="s">
        <v>189</v>
      </c>
      <c r="C215" s="22" t="s">
        <v>224</v>
      </c>
      <c r="D215" s="24" t="s">
        <v>36</v>
      </c>
      <c r="E215" s="22" t="s">
        <v>45</v>
      </c>
      <c r="F215" s="43" t="s">
        <v>458</v>
      </c>
      <c r="G215" s="22" t="s">
        <v>562</v>
      </c>
    </row>
    <row r="216" spans="1:7" ht="18" hidden="1" customHeight="1" x14ac:dyDescent="0.3">
      <c r="A216" s="32" t="s">
        <v>101</v>
      </c>
      <c r="B216" s="42" t="s">
        <v>41</v>
      </c>
      <c r="C216" s="28" t="s">
        <v>125</v>
      </c>
      <c r="D216" s="29" t="s">
        <v>41</v>
      </c>
      <c r="E216" s="28" t="s">
        <v>41</v>
      </c>
      <c r="F216" s="41" t="s">
        <v>392</v>
      </c>
      <c r="G216" s="28" t="s">
        <v>563</v>
      </c>
    </row>
    <row r="217" spans="1:7" ht="18" hidden="1" customHeight="1" x14ac:dyDescent="0.3">
      <c r="A217" s="38" t="s">
        <v>254</v>
      </c>
      <c r="B217" s="44" t="s">
        <v>255</v>
      </c>
      <c r="C217" s="22" t="s">
        <v>300</v>
      </c>
      <c r="D217" s="24" t="s">
        <v>36</v>
      </c>
      <c r="E217" s="22" t="s">
        <v>177</v>
      </c>
      <c r="F217" s="43" t="s">
        <v>415</v>
      </c>
      <c r="G217" s="22" t="s">
        <v>564</v>
      </c>
    </row>
    <row r="218" spans="1:7" ht="18" hidden="1" customHeight="1" x14ac:dyDescent="0.3">
      <c r="A218" s="38" t="s">
        <v>254</v>
      </c>
      <c r="B218" s="44" t="s">
        <v>255</v>
      </c>
      <c r="C218" s="28" t="s">
        <v>301</v>
      </c>
      <c r="D218" s="24" t="s">
        <v>36</v>
      </c>
      <c r="E218" s="28" t="s">
        <v>45</v>
      </c>
      <c r="F218" s="41" t="s">
        <v>437</v>
      </c>
      <c r="G218" s="28" t="s">
        <v>565</v>
      </c>
    </row>
    <row r="219" spans="1:7" ht="18" hidden="1" customHeight="1" x14ac:dyDescent="0.3">
      <c r="A219" s="38" t="s">
        <v>254</v>
      </c>
      <c r="B219" s="44" t="s">
        <v>255</v>
      </c>
      <c r="C219" s="22" t="s">
        <v>302</v>
      </c>
      <c r="D219" s="24" t="s">
        <v>36</v>
      </c>
      <c r="E219" s="22" t="s">
        <v>45</v>
      </c>
      <c r="F219" s="43" t="s">
        <v>557</v>
      </c>
      <c r="G219" s="22" t="s">
        <v>566</v>
      </c>
    </row>
    <row r="220" spans="1:7" ht="18" hidden="1" customHeight="1" x14ac:dyDescent="0.3">
      <c r="A220" s="20" t="s">
        <v>32</v>
      </c>
      <c r="B220" s="46" t="s">
        <v>33</v>
      </c>
      <c r="C220" s="28" t="s">
        <v>70</v>
      </c>
      <c r="D220" s="24" t="s">
        <v>36</v>
      </c>
      <c r="E220" s="28" t="s">
        <v>270</v>
      </c>
      <c r="F220" s="41" t="s">
        <v>567</v>
      </c>
      <c r="G220" s="28" t="s">
        <v>568</v>
      </c>
    </row>
    <row r="221" spans="1:7" ht="18" hidden="1" customHeight="1" x14ac:dyDescent="0.3">
      <c r="A221" s="20" t="s">
        <v>32</v>
      </c>
      <c r="B221" s="46" t="s">
        <v>33</v>
      </c>
      <c r="C221" s="28" t="s">
        <v>70</v>
      </c>
      <c r="D221" s="24" t="s">
        <v>36</v>
      </c>
      <c r="E221" s="28" t="s">
        <v>81</v>
      </c>
      <c r="F221" s="41" t="s">
        <v>567</v>
      </c>
      <c r="G221" s="28" t="s">
        <v>568</v>
      </c>
    </row>
    <row r="222" spans="1:7" ht="18" hidden="1" customHeight="1" x14ac:dyDescent="0.3">
      <c r="A222" s="20" t="s">
        <v>32</v>
      </c>
      <c r="B222" s="46" t="s">
        <v>33</v>
      </c>
      <c r="C222" s="28" t="s">
        <v>70</v>
      </c>
      <c r="D222" s="24" t="s">
        <v>36</v>
      </c>
      <c r="E222" s="28" t="s">
        <v>167</v>
      </c>
      <c r="F222" s="41" t="s">
        <v>567</v>
      </c>
      <c r="G222" s="28" t="s">
        <v>569</v>
      </c>
    </row>
    <row r="223" spans="1:7" ht="18" hidden="1" customHeight="1" x14ac:dyDescent="0.3">
      <c r="A223" s="20" t="s">
        <v>32</v>
      </c>
      <c r="B223" s="46" t="s">
        <v>33</v>
      </c>
      <c r="C223" s="28" t="s">
        <v>70</v>
      </c>
      <c r="D223" s="24" t="s">
        <v>36</v>
      </c>
      <c r="E223" s="28" t="s">
        <v>41</v>
      </c>
      <c r="F223" s="41" t="s">
        <v>567</v>
      </c>
      <c r="G223" s="28" t="s">
        <v>568</v>
      </c>
    </row>
    <row r="224" spans="1:7" ht="18" hidden="1" customHeight="1" x14ac:dyDescent="0.3">
      <c r="A224" s="20" t="s">
        <v>32</v>
      </c>
      <c r="B224" s="46" t="s">
        <v>33</v>
      </c>
      <c r="C224" s="28" t="s">
        <v>70</v>
      </c>
      <c r="D224" s="24" t="s">
        <v>36</v>
      </c>
      <c r="E224" s="28" t="s">
        <v>45</v>
      </c>
      <c r="F224" s="41" t="s">
        <v>567</v>
      </c>
      <c r="G224" s="28" t="s">
        <v>568</v>
      </c>
    </row>
    <row r="225" spans="1:7" ht="18" hidden="1" customHeight="1" x14ac:dyDescent="0.3">
      <c r="A225" s="38" t="s">
        <v>254</v>
      </c>
      <c r="B225" s="44" t="s">
        <v>255</v>
      </c>
      <c r="C225" s="22" t="s">
        <v>303</v>
      </c>
      <c r="D225" s="24" t="s">
        <v>36</v>
      </c>
      <c r="E225" s="22" t="s">
        <v>177</v>
      </c>
      <c r="F225" s="43" t="s">
        <v>415</v>
      </c>
      <c r="G225" s="22" t="s">
        <v>570</v>
      </c>
    </row>
    <row r="226" spans="1:7" ht="18" hidden="1" customHeight="1" x14ac:dyDescent="0.3">
      <c r="A226" s="32" t="s">
        <v>101</v>
      </c>
      <c r="B226" s="42" t="s">
        <v>41</v>
      </c>
      <c r="C226" s="28" t="s">
        <v>126</v>
      </c>
      <c r="D226" s="29" t="s">
        <v>41</v>
      </c>
      <c r="E226" s="28" t="s">
        <v>41</v>
      </c>
      <c r="F226" s="41" t="s">
        <v>437</v>
      </c>
      <c r="G226" s="28" t="s">
        <v>571</v>
      </c>
    </row>
    <row r="227" spans="1:7" ht="18" hidden="1" customHeight="1" x14ac:dyDescent="0.3">
      <c r="A227" s="32" t="s">
        <v>101</v>
      </c>
      <c r="B227" s="42" t="s">
        <v>41</v>
      </c>
      <c r="C227" s="22" t="s">
        <v>127</v>
      </c>
      <c r="D227" s="29" t="s">
        <v>41</v>
      </c>
      <c r="E227" s="22" t="s">
        <v>41</v>
      </c>
      <c r="F227" s="43" t="s">
        <v>392</v>
      </c>
      <c r="G227" s="22" t="s">
        <v>572</v>
      </c>
    </row>
    <row r="228" spans="1:7" ht="18" hidden="1" customHeight="1" x14ac:dyDescent="0.3">
      <c r="A228" s="34" t="s">
        <v>157</v>
      </c>
      <c r="B228" s="40" t="s">
        <v>158</v>
      </c>
      <c r="C228" s="28" t="s">
        <v>171</v>
      </c>
      <c r="D228" s="24" t="s">
        <v>36</v>
      </c>
      <c r="E228" s="28" t="s">
        <v>45</v>
      </c>
      <c r="F228" s="41" t="s">
        <v>415</v>
      </c>
      <c r="G228" s="28" t="s">
        <v>573</v>
      </c>
    </row>
    <row r="229" spans="1:7" ht="18" hidden="1" customHeight="1" x14ac:dyDescent="0.3">
      <c r="A229" s="34" t="s">
        <v>157</v>
      </c>
      <c r="B229" s="40" t="s">
        <v>158</v>
      </c>
      <c r="C229" s="28" t="s">
        <v>171</v>
      </c>
      <c r="D229" s="29" t="s">
        <v>41</v>
      </c>
      <c r="E229" s="28" t="s">
        <v>41</v>
      </c>
      <c r="F229" s="41" t="s">
        <v>421</v>
      </c>
      <c r="G229" s="28" t="s">
        <v>574</v>
      </c>
    </row>
    <row r="230" spans="1:7" ht="18" hidden="1" customHeight="1" x14ac:dyDescent="0.3">
      <c r="A230" s="36" t="s">
        <v>188</v>
      </c>
      <c r="B230" s="45" t="s">
        <v>189</v>
      </c>
      <c r="C230" s="22" t="s">
        <v>225</v>
      </c>
      <c r="D230" s="24" t="s">
        <v>36</v>
      </c>
      <c r="E230" s="22" t="s">
        <v>270</v>
      </c>
      <c r="F230" s="43" t="s">
        <v>510</v>
      </c>
      <c r="G230" s="22" t="s">
        <v>575</v>
      </c>
    </row>
    <row r="231" spans="1:7" ht="18" hidden="1" customHeight="1" x14ac:dyDescent="0.3">
      <c r="A231" s="36" t="s">
        <v>188</v>
      </c>
      <c r="B231" s="45" t="s">
        <v>189</v>
      </c>
      <c r="C231" s="22" t="s">
        <v>225</v>
      </c>
      <c r="D231" s="24" t="s">
        <v>36</v>
      </c>
      <c r="E231" s="22" t="s">
        <v>41</v>
      </c>
      <c r="F231" s="43" t="s">
        <v>510</v>
      </c>
      <c r="G231" s="22" t="s">
        <v>576</v>
      </c>
    </row>
    <row r="232" spans="1:7" ht="18" hidden="1" customHeight="1" x14ac:dyDescent="0.3">
      <c r="A232" s="36" t="s">
        <v>188</v>
      </c>
      <c r="B232" s="45" t="s">
        <v>189</v>
      </c>
      <c r="C232" s="22" t="s">
        <v>225</v>
      </c>
      <c r="D232" s="24" t="s">
        <v>36</v>
      </c>
      <c r="E232" s="22" t="s">
        <v>263</v>
      </c>
      <c r="F232" s="43" t="s">
        <v>510</v>
      </c>
      <c r="G232" s="22" t="s">
        <v>576</v>
      </c>
    </row>
    <row r="233" spans="1:7" ht="18" hidden="1" customHeight="1" x14ac:dyDescent="0.3">
      <c r="A233" s="36" t="s">
        <v>188</v>
      </c>
      <c r="B233" s="45" t="s">
        <v>189</v>
      </c>
      <c r="C233" s="22" t="s">
        <v>225</v>
      </c>
      <c r="D233" s="24" t="s">
        <v>36</v>
      </c>
      <c r="E233" s="22" t="s">
        <v>45</v>
      </c>
      <c r="F233" s="43" t="s">
        <v>510</v>
      </c>
      <c r="G233" s="22" t="s">
        <v>576</v>
      </c>
    </row>
    <row r="234" spans="1:7" ht="18" hidden="1" customHeight="1" x14ac:dyDescent="0.3">
      <c r="A234" s="36" t="s">
        <v>188</v>
      </c>
      <c r="B234" s="45" t="s">
        <v>189</v>
      </c>
      <c r="C234" s="22" t="s">
        <v>225</v>
      </c>
      <c r="D234" s="24" t="s">
        <v>36</v>
      </c>
      <c r="E234" s="22" t="s">
        <v>45</v>
      </c>
      <c r="F234" s="43" t="s">
        <v>410</v>
      </c>
      <c r="G234" s="22" t="s">
        <v>577</v>
      </c>
    </row>
    <row r="235" spans="1:7" ht="18" hidden="1" customHeight="1" x14ac:dyDescent="0.3">
      <c r="A235" s="20" t="s">
        <v>32</v>
      </c>
      <c r="B235" s="46" t="s">
        <v>33</v>
      </c>
      <c r="C235" s="28" t="s">
        <v>73</v>
      </c>
      <c r="D235" s="29" t="s">
        <v>41</v>
      </c>
      <c r="E235" s="28" t="s">
        <v>41</v>
      </c>
      <c r="F235" s="41" t="s">
        <v>415</v>
      </c>
      <c r="G235" s="28" t="s">
        <v>578</v>
      </c>
    </row>
    <row r="236" spans="1:7" ht="18" hidden="1" customHeight="1" x14ac:dyDescent="0.3">
      <c r="A236" s="20" t="s">
        <v>32</v>
      </c>
      <c r="B236" s="46" t="s">
        <v>33</v>
      </c>
      <c r="C236" s="22" t="s">
        <v>74</v>
      </c>
      <c r="D236" s="29" t="s">
        <v>41</v>
      </c>
      <c r="E236" s="22" t="s">
        <v>41</v>
      </c>
      <c r="F236" s="43" t="s">
        <v>579</v>
      </c>
      <c r="G236" s="22" t="s">
        <v>580</v>
      </c>
    </row>
    <row r="237" spans="1:7" ht="18" hidden="1" customHeight="1" x14ac:dyDescent="0.3">
      <c r="A237" s="20" t="s">
        <v>32</v>
      </c>
      <c r="B237" s="46" t="s">
        <v>33</v>
      </c>
      <c r="C237" s="28" t="s">
        <v>75</v>
      </c>
      <c r="D237" s="24" t="s">
        <v>36</v>
      </c>
      <c r="E237" s="28" t="s">
        <v>270</v>
      </c>
      <c r="F237" s="41" t="s">
        <v>396</v>
      </c>
      <c r="G237" s="28" t="s">
        <v>581</v>
      </c>
    </row>
    <row r="238" spans="1:7" ht="18" hidden="1" customHeight="1" x14ac:dyDescent="0.3">
      <c r="A238" s="20" t="s">
        <v>32</v>
      </c>
      <c r="B238" s="46" t="s">
        <v>33</v>
      </c>
      <c r="C238" s="28" t="s">
        <v>75</v>
      </c>
      <c r="D238" s="24" t="s">
        <v>36</v>
      </c>
      <c r="E238" s="28" t="s">
        <v>258</v>
      </c>
      <c r="F238" s="41" t="s">
        <v>396</v>
      </c>
      <c r="G238" s="28" t="s">
        <v>581</v>
      </c>
    </row>
    <row r="239" spans="1:7" ht="18" hidden="1" customHeight="1" x14ac:dyDescent="0.3">
      <c r="A239" s="20" t="s">
        <v>32</v>
      </c>
      <c r="B239" s="46" t="s">
        <v>33</v>
      </c>
      <c r="C239" s="28" t="s">
        <v>75</v>
      </c>
      <c r="D239" s="24" t="s">
        <v>36</v>
      </c>
      <c r="E239" s="28" t="s">
        <v>81</v>
      </c>
      <c r="F239" s="41" t="s">
        <v>396</v>
      </c>
      <c r="G239" s="28" t="s">
        <v>581</v>
      </c>
    </row>
    <row r="240" spans="1:7" ht="18" hidden="1" customHeight="1" x14ac:dyDescent="0.3">
      <c r="A240" s="20" t="s">
        <v>32</v>
      </c>
      <c r="B240" s="46" t="s">
        <v>33</v>
      </c>
      <c r="C240" s="28" t="s">
        <v>75</v>
      </c>
      <c r="D240" s="24" t="s">
        <v>36</v>
      </c>
      <c r="E240" s="28" t="s">
        <v>177</v>
      </c>
      <c r="F240" s="41" t="s">
        <v>396</v>
      </c>
      <c r="G240" s="28" t="s">
        <v>581</v>
      </c>
    </row>
    <row r="241" spans="1:7" ht="18" hidden="1" customHeight="1" x14ac:dyDescent="0.3">
      <c r="A241" s="20" t="s">
        <v>32</v>
      </c>
      <c r="B241" s="46" t="s">
        <v>33</v>
      </c>
      <c r="C241" s="28" t="s">
        <v>75</v>
      </c>
      <c r="D241" s="24" t="s">
        <v>36</v>
      </c>
      <c r="E241" s="28" t="s">
        <v>41</v>
      </c>
      <c r="F241" s="41" t="s">
        <v>396</v>
      </c>
      <c r="G241" s="28" t="s">
        <v>582</v>
      </c>
    </row>
    <row r="242" spans="1:7" ht="18" hidden="1" customHeight="1" x14ac:dyDescent="0.3">
      <c r="A242" s="20" t="s">
        <v>32</v>
      </c>
      <c r="B242" s="46" t="s">
        <v>33</v>
      </c>
      <c r="C242" s="28" t="s">
        <v>75</v>
      </c>
      <c r="D242" s="24" t="s">
        <v>36</v>
      </c>
      <c r="E242" s="28" t="s">
        <v>263</v>
      </c>
      <c r="F242" s="41" t="s">
        <v>396</v>
      </c>
      <c r="G242" s="28" t="s">
        <v>583</v>
      </c>
    </row>
    <row r="243" spans="1:7" ht="18" hidden="1" customHeight="1" x14ac:dyDescent="0.3">
      <c r="A243" s="20" t="s">
        <v>32</v>
      </c>
      <c r="B243" s="46" t="s">
        <v>33</v>
      </c>
      <c r="C243" s="28" t="s">
        <v>75</v>
      </c>
      <c r="D243" s="24" t="s">
        <v>36</v>
      </c>
      <c r="E243" s="28" t="s">
        <v>45</v>
      </c>
      <c r="F243" s="41" t="s">
        <v>396</v>
      </c>
      <c r="G243" s="28" t="s">
        <v>583</v>
      </c>
    </row>
    <row r="244" spans="1:7" ht="18" hidden="1" customHeight="1" x14ac:dyDescent="0.3">
      <c r="A244" s="20" t="s">
        <v>32</v>
      </c>
      <c r="B244" s="46" t="s">
        <v>33</v>
      </c>
      <c r="C244" s="22" t="s">
        <v>77</v>
      </c>
      <c r="D244" s="29" t="s">
        <v>41</v>
      </c>
      <c r="E244" s="22" t="s">
        <v>41</v>
      </c>
      <c r="F244" s="43" t="s">
        <v>401</v>
      </c>
      <c r="G244" s="22" t="s">
        <v>584</v>
      </c>
    </row>
    <row r="245" spans="1:7" ht="18" hidden="1" customHeight="1" x14ac:dyDescent="0.3">
      <c r="A245" s="32" t="s">
        <v>101</v>
      </c>
      <c r="B245" s="42" t="s">
        <v>41</v>
      </c>
      <c r="C245" s="28" t="s">
        <v>128</v>
      </c>
      <c r="D245" s="29" t="s">
        <v>41</v>
      </c>
      <c r="E245" s="28" t="s">
        <v>41</v>
      </c>
      <c r="F245" s="41" t="s">
        <v>421</v>
      </c>
      <c r="G245" s="28" t="s">
        <v>585</v>
      </c>
    </row>
    <row r="246" spans="1:7" ht="18" hidden="1" customHeight="1" x14ac:dyDescent="0.3">
      <c r="A246" s="32" t="s">
        <v>101</v>
      </c>
      <c r="B246" s="42" t="s">
        <v>41</v>
      </c>
      <c r="C246" s="22" t="s">
        <v>129</v>
      </c>
      <c r="D246" s="29" t="s">
        <v>41</v>
      </c>
      <c r="E246" s="22" t="s">
        <v>41</v>
      </c>
      <c r="F246" s="43" t="s">
        <v>404</v>
      </c>
      <c r="G246" s="22" t="s">
        <v>586</v>
      </c>
    </row>
    <row r="247" spans="1:7" ht="18" hidden="1" customHeight="1" x14ac:dyDescent="0.3">
      <c r="A247" s="38" t="s">
        <v>254</v>
      </c>
      <c r="B247" s="44" t="s">
        <v>255</v>
      </c>
      <c r="C247" s="28" t="s">
        <v>304</v>
      </c>
      <c r="D247" s="24" t="s">
        <v>36</v>
      </c>
      <c r="E247" s="28" t="s">
        <v>305</v>
      </c>
      <c r="F247" s="41" t="s">
        <v>404</v>
      </c>
      <c r="G247" s="28" t="s">
        <v>587</v>
      </c>
    </row>
    <row r="248" spans="1:7" ht="18" hidden="1" customHeight="1" x14ac:dyDescent="0.3">
      <c r="A248" s="20" t="s">
        <v>32</v>
      </c>
      <c r="B248" s="46" t="s">
        <v>33</v>
      </c>
      <c r="C248" s="22" t="s">
        <v>78</v>
      </c>
      <c r="D248" s="24" t="s">
        <v>36</v>
      </c>
      <c r="E248" s="22" t="s">
        <v>81</v>
      </c>
      <c r="F248" s="43" t="s">
        <v>389</v>
      </c>
      <c r="G248" s="22" t="s">
        <v>588</v>
      </c>
    </row>
    <row r="249" spans="1:7" ht="18" hidden="1" customHeight="1" x14ac:dyDescent="0.3">
      <c r="A249" s="20" t="s">
        <v>32</v>
      </c>
      <c r="B249" s="46" t="s">
        <v>33</v>
      </c>
      <c r="C249" s="22" t="s">
        <v>78</v>
      </c>
      <c r="D249" s="24" t="s">
        <v>36</v>
      </c>
      <c r="E249" s="22" t="s">
        <v>45</v>
      </c>
      <c r="F249" s="43" t="s">
        <v>389</v>
      </c>
      <c r="G249" s="22" t="s">
        <v>588</v>
      </c>
    </row>
    <row r="250" spans="1:7" ht="18" hidden="1" customHeight="1" x14ac:dyDescent="0.3">
      <c r="A250" s="20" t="s">
        <v>32</v>
      </c>
      <c r="B250" s="46" t="s">
        <v>33</v>
      </c>
      <c r="C250" s="22" t="s">
        <v>78</v>
      </c>
      <c r="D250" s="29" t="s">
        <v>41</v>
      </c>
      <c r="E250" s="22" t="s">
        <v>41</v>
      </c>
      <c r="F250" s="43" t="s">
        <v>404</v>
      </c>
      <c r="G250" s="22" t="s">
        <v>589</v>
      </c>
    </row>
    <row r="251" spans="1:7" ht="18" hidden="1" customHeight="1" x14ac:dyDescent="0.3">
      <c r="A251" s="20" t="s">
        <v>32</v>
      </c>
      <c r="B251" s="46" t="s">
        <v>33</v>
      </c>
      <c r="C251" s="28" t="s">
        <v>80</v>
      </c>
      <c r="D251" s="24" t="s">
        <v>36</v>
      </c>
      <c r="E251" s="28" t="s">
        <v>81</v>
      </c>
      <c r="F251" s="41" t="s">
        <v>410</v>
      </c>
      <c r="G251" s="28" t="s">
        <v>590</v>
      </c>
    </row>
    <row r="252" spans="1:7" ht="18" hidden="1" customHeight="1" x14ac:dyDescent="0.3">
      <c r="A252" s="20" t="s">
        <v>32</v>
      </c>
      <c r="B252" s="46" t="s">
        <v>33</v>
      </c>
      <c r="C252" s="28" t="s">
        <v>80</v>
      </c>
      <c r="D252" s="29" t="s">
        <v>41</v>
      </c>
      <c r="E252" s="28" t="s">
        <v>41</v>
      </c>
      <c r="F252" s="41" t="s">
        <v>421</v>
      </c>
      <c r="G252" s="28" t="s">
        <v>591</v>
      </c>
    </row>
    <row r="253" spans="1:7" ht="18" hidden="1" customHeight="1" x14ac:dyDescent="0.3">
      <c r="A253" s="32" t="s">
        <v>101</v>
      </c>
      <c r="B253" s="42" t="s">
        <v>41</v>
      </c>
      <c r="C253" s="22" t="s">
        <v>130</v>
      </c>
      <c r="D253" s="29" t="s">
        <v>41</v>
      </c>
      <c r="E253" s="22" t="s">
        <v>41</v>
      </c>
      <c r="F253" s="43" t="s">
        <v>592</v>
      </c>
      <c r="G253" s="22" t="s">
        <v>593</v>
      </c>
    </row>
    <row r="254" spans="1:7" ht="18" hidden="1" customHeight="1" x14ac:dyDescent="0.3">
      <c r="A254" s="38" t="s">
        <v>254</v>
      </c>
      <c r="B254" s="44" t="s">
        <v>255</v>
      </c>
      <c r="C254" s="28" t="s">
        <v>306</v>
      </c>
      <c r="D254" s="24" t="s">
        <v>36</v>
      </c>
      <c r="E254" s="28" t="s">
        <v>177</v>
      </c>
      <c r="F254" s="41" t="s">
        <v>415</v>
      </c>
      <c r="G254" s="28" t="s">
        <v>594</v>
      </c>
    </row>
    <row r="255" spans="1:7" ht="18" hidden="1" customHeight="1" x14ac:dyDescent="0.3">
      <c r="A255" s="20" t="s">
        <v>32</v>
      </c>
      <c r="B255" s="46" t="s">
        <v>33</v>
      </c>
      <c r="C255" s="22" t="s">
        <v>82</v>
      </c>
      <c r="D255" s="24" t="s">
        <v>36</v>
      </c>
      <c r="E255" s="22" t="s">
        <v>263</v>
      </c>
      <c r="F255" s="43" t="s">
        <v>488</v>
      </c>
      <c r="G255" s="22" t="s">
        <v>595</v>
      </c>
    </row>
    <row r="256" spans="1:7" ht="18" hidden="1" customHeight="1" x14ac:dyDescent="0.3">
      <c r="A256" s="20" t="s">
        <v>32</v>
      </c>
      <c r="B256" s="46" t="s">
        <v>33</v>
      </c>
      <c r="C256" s="22" t="s">
        <v>82</v>
      </c>
      <c r="D256" s="24" t="s">
        <v>36</v>
      </c>
      <c r="E256" s="22" t="s">
        <v>45</v>
      </c>
      <c r="F256" s="43" t="s">
        <v>488</v>
      </c>
      <c r="G256" s="22" t="s">
        <v>595</v>
      </c>
    </row>
    <row r="257" spans="1:7" ht="18" hidden="1" customHeight="1" x14ac:dyDescent="0.3">
      <c r="A257" s="20" t="s">
        <v>32</v>
      </c>
      <c r="B257" s="46" t="s">
        <v>33</v>
      </c>
      <c r="C257" s="22" t="s">
        <v>82</v>
      </c>
      <c r="D257" s="29" t="s">
        <v>41</v>
      </c>
      <c r="E257" s="22" t="s">
        <v>41</v>
      </c>
      <c r="F257" s="43" t="s">
        <v>389</v>
      </c>
      <c r="G257" s="22" t="s">
        <v>596</v>
      </c>
    </row>
    <row r="258" spans="1:7" ht="18" hidden="1" customHeight="1" x14ac:dyDescent="0.3">
      <c r="A258" s="34" t="s">
        <v>157</v>
      </c>
      <c r="B258" s="40" t="s">
        <v>158</v>
      </c>
      <c r="C258" s="28" t="s">
        <v>172</v>
      </c>
      <c r="D258" s="24" t="s">
        <v>36</v>
      </c>
      <c r="E258" s="28" t="s">
        <v>81</v>
      </c>
      <c r="F258" s="41" t="s">
        <v>410</v>
      </c>
      <c r="G258" s="28" t="s">
        <v>597</v>
      </c>
    </row>
    <row r="259" spans="1:7" ht="18" hidden="1" customHeight="1" x14ac:dyDescent="0.3">
      <c r="A259" s="34" t="s">
        <v>157</v>
      </c>
      <c r="B259" s="40" t="s">
        <v>158</v>
      </c>
      <c r="C259" s="28" t="s">
        <v>172</v>
      </c>
      <c r="D259" s="29" t="s">
        <v>41</v>
      </c>
      <c r="E259" s="28" t="s">
        <v>41</v>
      </c>
      <c r="F259" s="41" t="s">
        <v>392</v>
      </c>
      <c r="G259" s="28" t="s">
        <v>598</v>
      </c>
    </row>
    <row r="260" spans="1:7" ht="18" hidden="1" customHeight="1" x14ac:dyDescent="0.3">
      <c r="A260" s="38" t="s">
        <v>254</v>
      </c>
      <c r="B260" s="44" t="s">
        <v>255</v>
      </c>
      <c r="C260" s="22" t="s">
        <v>307</v>
      </c>
      <c r="D260" s="24" t="s">
        <v>36</v>
      </c>
      <c r="E260" s="22" t="s">
        <v>177</v>
      </c>
      <c r="F260" s="43" t="s">
        <v>415</v>
      </c>
      <c r="G260" s="22" t="s">
        <v>599</v>
      </c>
    </row>
    <row r="261" spans="1:7" ht="18" hidden="1" customHeight="1" x14ac:dyDescent="0.3">
      <c r="A261" s="38" t="s">
        <v>254</v>
      </c>
      <c r="B261" s="44" t="s">
        <v>255</v>
      </c>
      <c r="C261" s="28" t="s">
        <v>308</v>
      </c>
      <c r="D261" s="24" t="s">
        <v>36</v>
      </c>
      <c r="E261" s="28" t="s">
        <v>258</v>
      </c>
      <c r="F261" s="41" t="s">
        <v>437</v>
      </c>
      <c r="G261" s="28" t="s">
        <v>600</v>
      </c>
    </row>
    <row r="262" spans="1:7" ht="18" hidden="1" customHeight="1" x14ac:dyDescent="0.3">
      <c r="A262" s="36" t="s">
        <v>188</v>
      </c>
      <c r="B262" s="45" t="s">
        <v>189</v>
      </c>
      <c r="C262" s="22" t="s">
        <v>227</v>
      </c>
      <c r="D262" s="24" t="s">
        <v>36</v>
      </c>
      <c r="E262" s="22" t="s">
        <v>81</v>
      </c>
      <c r="F262" s="43" t="s">
        <v>399</v>
      </c>
      <c r="G262" s="22" t="s">
        <v>601</v>
      </c>
    </row>
    <row r="263" spans="1:7" ht="18" hidden="1" customHeight="1" x14ac:dyDescent="0.3">
      <c r="A263" s="36" t="s">
        <v>188</v>
      </c>
      <c r="B263" s="45" t="s">
        <v>189</v>
      </c>
      <c r="C263" s="22" t="s">
        <v>227</v>
      </c>
      <c r="D263" s="24" t="s">
        <v>36</v>
      </c>
      <c r="E263" s="22" t="s">
        <v>45</v>
      </c>
      <c r="F263" s="43" t="s">
        <v>399</v>
      </c>
      <c r="G263" s="22" t="s">
        <v>601</v>
      </c>
    </row>
    <row r="264" spans="1:7" ht="18" hidden="1" customHeight="1" x14ac:dyDescent="0.3">
      <c r="A264" s="32" t="s">
        <v>101</v>
      </c>
      <c r="B264" s="42" t="s">
        <v>41</v>
      </c>
      <c r="C264" s="28" t="s">
        <v>131</v>
      </c>
      <c r="D264" s="29" t="s">
        <v>41</v>
      </c>
      <c r="E264" s="28" t="s">
        <v>41</v>
      </c>
      <c r="F264" s="41" t="s">
        <v>392</v>
      </c>
      <c r="G264" s="28" t="s">
        <v>602</v>
      </c>
    </row>
    <row r="265" spans="1:7" ht="18" hidden="1" customHeight="1" x14ac:dyDescent="0.3">
      <c r="A265" s="36" t="s">
        <v>188</v>
      </c>
      <c r="B265" s="45" t="s">
        <v>189</v>
      </c>
      <c r="C265" s="22" t="s">
        <v>228</v>
      </c>
      <c r="D265" s="24" t="s">
        <v>36</v>
      </c>
      <c r="E265" s="22" t="s">
        <v>270</v>
      </c>
      <c r="F265" s="43" t="s">
        <v>469</v>
      </c>
      <c r="G265" s="22" t="s">
        <v>603</v>
      </c>
    </row>
    <row r="266" spans="1:7" ht="18" hidden="1" customHeight="1" x14ac:dyDescent="0.3">
      <c r="A266" s="36" t="s">
        <v>188</v>
      </c>
      <c r="B266" s="45" t="s">
        <v>189</v>
      </c>
      <c r="C266" s="22" t="s">
        <v>228</v>
      </c>
      <c r="D266" s="24" t="s">
        <v>36</v>
      </c>
      <c r="E266" s="22" t="s">
        <v>45</v>
      </c>
      <c r="F266" s="43" t="s">
        <v>469</v>
      </c>
      <c r="G266" s="22" t="s">
        <v>603</v>
      </c>
    </row>
    <row r="267" spans="1:7" ht="18" hidden="1" customHeight="1" x14ac:dyDescent="0.3">
      <c r="A267" s="38" t="s">
        <v>254</v>
      </c>
      <c r="B267" s="44" t="s">
        <v>255</v>
      </c>
      <c r="C267" s="28" t="s">
        <v>309</v>
      </c>
      <c r="D267" s="24" t="s">
        <v>36</v>
      </c>
      <c r="E267" s="28" t="s">
        <v>177</v>
      </c>
      <c r="F267" s="41" t="s">
        <v>415</v>
      </c>
      <c r="G267" s="28" t="s">
        <v>604</v>
      </c>
    </row>
    <row r="268" spans="1:7" ht="18" hidden="1" customHeight="1" x14ac:dyDescent="0.3">
      <c r="A268" s="38" t="s">
        <v>254</v>
      </c>
      <c r="B268" s="44" t="s">
        <v>255</v>
      </c>
      <c r="C268" s="22" t="s">
        <v>310</v>
      </c>
      <c r="D268" s="24" t="s">
        <v>36</v>
      </c>
      <c r="E268" s="22" t="s">
        <v>41</v>
      </c>
      <c r="F268" s="43" t="s">
        <v>399</v>
      </c>
      <c r="G268" s="22" t="s">
        <v>605</v>
      </c>
    </row>
    <row r="269" spans="1:7" ht="18" hidden="1" customHeight="1" x14ac:dyDescent="0.3">
      <c r="A269" s="38" t="s">
        <v>254</v>
      </c>
      <c r="B269" s="44" t="s">
        <v>255</v>
      </c>
      <c r="C269" s="28" t="s">
        <v>311</v>
      </c>
      <c r="D269" s="24" t="s">
        <v>36</v>
      </c>
      <c r="E269" s="28" t="s">
        <v>270</v>
      </c>
      <c r="F269" s="41" t="s">
        <v>399</v>
      </c>
      <c r="G269" s="28" t="s">
        <v>606</v>
      </c>
    </row>
    <row r="270" spans="1:7" ht="18" hidden="1" customHeight="1" x14ac:dyDescent="0.3">
      <c r="A270" s="20" t="s">
        <v>32</v>
      </c>
      <c r="B270" s="46" t="s">
        <v>33</v>
      </c>
      <c r="C270" s="22" t="s">
        <v>84</v>
      </c>
      <c r="D270" s="24" t="s">
        <v>36</v>
      </c>
      <c r="E270" s="22" t="s">
        <v>81</v>
      </c>
      <c r="F270" s="43" t="s">
        <v>410</v>
      </c>
      <c r="G270" s="22" t="s">
        <v>577</v>
      </c>
    </row>
    <row r="271" spans="1:7" ht="18" hidden="1" customHeight="1" x14ac:dyDescent="0.3">
      <c r="A271" s="20" t="s">
        <v>32</v>
      </c>
      <c r="B271" s="46" t="s">
        <v>33</v>
      </c>
      <c r="C271" s="22" t="s">
        <v>84</v>
      </c>
      <c r="D271" s="24" t="s">
        <v>36</v>
      </c>
      <c r="E271" s="22" t="s">
        <v>167</v>
      </c>
      <c r="F271" s="43" t="s">
        <v>410</v>
      </c>
      <c r="G271" s="22" t="s">
        <v>577</v>
      </c>
    </row>
    <row r="272" spans="1:7" ht="18" hidden="1" customHeight="1" x14ac:dyDescent="0.3">
      <c r="A272" s="20" t="s">
        <v>32</v>
      </c>
      <c r="B272" s="46" t="s">
        <v>33</v>
      </c>
      <c r="C272" s="22" t="s">
        <v>84</v>
      </c>
      <c r="D272" s="24" t="s">
        <v>36</v>
      </c>
      <c r="E272" s="22" t="s">
        <v>177</v>
      </c>
      <c r="F272" s="43" t="s">
        <v>410</v>
      </c>
      <c r="G272" s="22" t="s">
        <v>577</v>
      </c>
    </row>
    <row r="273" spans="1:7" ht="18" hidden="1" customHeight="1" x14ac:dyDescent="0.3">
      <c r="A273" s="20" t="s">
        <v>32</v>
      </c>
      <c r="B273" s="46" t="s">
        <v>33</v>
      </c>
      <c r="C273" s="22" t="s">
        <v>84</v>
      </c>
      <c r="D273" s="24" t="s">
        <v>36</v>
      </c>
      <c r="E273" s="22" t="s">
        <v>41</v>
      </c>
      <c r="F273" s="43" t="s">
        <v>410</v>
      </c>
      <c r="G273" s="22" t="s">
        <v>577</v>
      </c>
    </row>
    <row r="274" spans="1:7" ht="18" hidden="1" customHeight="1" x14ac:dyDescent="0.3">
      <c r="A274" s="20" t="s">
        <v>32</v>
      </c>
      <c r="B274" s="46" t="s">
        <v>33</v>
      </c>
      <c r="C274" s="22" t="s">
        <v>84</v>
      </c>
      <c r="D274" s="24" t="s">
        <v>36</v>
      </c>
      <c r="E274" s="22" t="s">
        <v>263</v>
      </c>
      <c r="F274" s="43" t="s">
        <v>410</v>
      </c>
      <c r="G274" s="22" t="s">
        <v>577</v>
      </c>
    </row>
    <row r="275" spans="1:7" ht="18" hidden="1" customHeight="1" x14ac:dyDescent="0.3">
      <c r="A275" s="32" t="s">
        <v>101</v>
      </c>
      <c r="B275" s="42" t="s">
        <v>41</v>
      </c>
      <c r="C275" s="28" t="s">
        <v>132</v>
      </c>
      <c r="D275" s="29" t="s">
        <v>41</v>
      </c>
      <c r="E275" s="28" t="s">
        <v>41</v>
      </c>
      <c r="F275" s="41" t="s">
        <v>410</v>
      </c>
      <c r="G275" s="28" t="s">
        <v>607</v>
      </c>
    </row>
    <row r="276" spans="1:7" ht="18" hidden="1" customHeight="1" x14ac:dyDescent="0.3">
      <c r="A276" s="38" t="s">
        <v>254</v>
      </c>
      <c r="B276" s="44" t="s">
        <v>255</v>
      </c>
      <c r="C276" s="22" t="s">
        <v>312</v>
      </c>
      <c r="D276" s="24" t="s">
        <v>36</v>
      </c>
      <c r="E276" s="22" t="s">
        <v>45</v>
      </c>
      <c r="F276" s="43" t="s">
        <v>415</v>
      </c>
      <c r="G276" s="22" t="s">
        <v>608</v>
      </c>
    </row>
    <row r="277" spans="1:7" ht="18" hidden="1" customHeight="1" x14ac:dyDescent="0.3">
      <c r="A277" s="36" t="s">
        <v>188</v>
      </c>
      <c r="B277" s="45" t="s">
        <v>189</v>
      </c>
      <c r="C277" s="28" t="s">
        <v>229</v>
      </c>
      <c r="D277" s="24" t="s">
        <v>36</v>
      </c>
      <c r="E277" s="28" t="s">
        <v>81</v>
      </c>
      <c r="F277" s="41" t="s">
        <v>399</v>
      </c>
      <c r="G277" s="28" t="s">
        <v>609</v>
      </c>
    </row>
    <row r="278" spans="1:7" ht="18" hidden="1" customHeight="1" x14ac:dyDescent="0.3">
      <c r="A278" s="36" t="s">
        <v>188</v>
      </c>
      <c r="B278" s="45" t="s">
        <v>189</v>
      </c>
      <c r="C278" s="28" t="s">
        <v>229</v>
      </c>
      <c r="D278" s="24" t="s">
        <v>36</v>
      </c>
      <c r="E278" s="28" t="s">
        <v>45</v>
      </c>
      <c r="F278" s="41" t="s">
        <v>404</v>
      </c>
      <c r="G278" s="28" t="s">
        <v>610</v>
      </c>
    </row>
    <row r="279" spans="1:7" ht="18" hidden="1" customHeight="1" x14ac:dyDescent="0.3">
      <c r="A279" s="34" t="s">
        <v>157</v>
      </c>
      <c r="B279" s="40" t="s">
        <v>158</v>
      </c>
      <c r="C279" s="22" t="s">
        <v>173</v>
      </c>
      <c r="D279" s="24" t="s">
        <v>36</v>
      </c>
      <c r="E279" s="22" t="s">
        <v>81</v>
      </c>
      <c r="F279" s="43" t="s">
        <v>389</v>
      </c>
      <c r="G279" s="22" t="s">
        <v>611</v>
      </c>
    </row>
    <row r="280" spans="1:7" ht="18" hidden="1" customHeight="1" x14ac:dyDescent="0.3">
      <c r="A280" s="34" t="s">
        <v>157</v>
      </c>
      <c r="B280" s="40" t="s">
        <v>158</v>
      </c>
      <c r="C280" s="22" t="s">
        <v>173</v>
      </c>
      <c r="D280" s="24" t="s">
        <v>36</v>
      </c>
      <c r="E280" s="22" t="s">
        <v>45</v>
      </c>
      <c r="F280" s="43" t="s">
        <v>389</v>
      </c>
      <c r="G280" s="22" t="s">
        <v>611</v>
      </c>
    </row>
    <row r="281" spans="1:7" ht="18" hidden="1" customHeight="1" x14ac:dyDescent="0.3">
      <c r="A281" s="34" t="s">
        <v>157</v>
      </c>
      <c r="B281" s="40" t="s">
        <v>158</v>
      </c>
      <c r="C281" s="22" t="s">
        <v>173</v>
      </c>
      <c r="D281" s="29" t="s">
        <v>41</v>
      </c>
      <c r="E281" s="22" t="s">
        <v>41</v>
      </c>
      <c r="F281" s="43" t="s">
        <v>404</v>
      </c>
      <c r="G281" s="22" t="s">
        <v>612</v>
      </c>
    </row>
    <row r="282" spans="1:7" ht="18" hidden="1" customHeight="1" x14ac:dyDescent="0.3">
      <c r="A282" s="38" t="s">
        <v>254</v>
      </c>
      <c r="B282" s="44" t="s">
        <v>255</v>
      </c>
      <c r="C282" s="28" t="s">
        <v>313</v>
      </c>
      <c r="D282" s="24" t="s">
        <v>36</v>
      </c>
      <c r="E282" s="28" t="s">
        <v>45</v>
      </c>
      <c r="F282" s="41" t="s">
        <v>415</v>
      </c>
      <c r="G282" s="28" t="s">
        <v>613</v>
      </c>
    </row>
    <row r="283" spans="1:7" ht="18" hidden="1" customHeight="1" x14ac:dyDescent="0.3">
      <c r="A283" s="38" t="s">
        <v>254</v>
      </c>
      <c r="B283" s="44" t="s">
        <v>255</v>
      </c>
      <c r="C283" s="28" t="s">
        <v>313</v>
      </c>
      <c r="D283" s="24" t="s">
        <v>36</v>
      </c>
      <c r="E283" s="28" t="s">
        <v>45</v>
      </c>
      <c r="F283" s="41" t="s">
        <v>415</v>
      </c>
      <c r="G283" s="28" t="s">
        <v>613</v>
      </c>
    </row>
    <row r="284" spans="1:7" ht="18" hidden="1" customHeight="1" x14ac:dyDescent="0.3">
      <c r="A284" s="36" t="s">
        <v>188</v>
      </c>
      <c r="B284" s="45" t="s">
        <v>189</v>
      </c>
      <c r="C284" s="22" t="s">
        <v>230</v>
      </c>
      <c r="D284" s="24" t="s">
        <v>36</v>
      </c>
      <c r="E284" s="22" t="s">
        <v>263</v>
      </c>
      <c r="F284" s="43" t="s">
        <v>415</v>
      </c>
      <c r="G284" s="22" t="s">
        <v>614</v>
      </c>
    </row>
    <row r="285" spans="1:7" ht="18" hidden="1" customHeight="1" x14ac:dyDescent="0.3">
      <c r="A285" s="36" t="s">
        <v>188</v>
      </c>
      <c r="B285" s="45" t="s">
        <v>189</v>
      </c>
      <c r="C285" s="22" t="s">
        <v>230</v>
      </c>
      <c r="D285" s="24" t="s">
        <v>36</v>
      </c>
      <c r="E285" s="22" t="s">
        <v>45</v>
      </c>
      <c r="F285" s="43" t="s">
        <v>415</v>
      </c>
      <c r="G285" s="22" t="s">
        <v>614</v>
      </c>
    </row>
    <row r="286" spans="1:7" ht="18" hidden="1" customHeight="1" x14ac:dyDescent="0.3">
      <c r="A286" s="36" t="s">
        <v>188</v>
      </c>
      <c r="B286" s="45" t="s">
        <v>189</v>
      </c>
      <c r="C286" s="28" t="s">
        <v>231</v>
      </c>
      <c r="D286" s="24" t="s">
        <v>36</v>
      </c>
      <c r="E286" s="28" t="s">
        <v>167</v>
      </c>
      <c r="F286" s="41" t="s">
        <v>404</v>
      </c>
      <c r="G286" s="28" t="s">
        <v>615</v>
      </c>
    </row>
    <row r="287" spans="1:7" ht="18" hidden="1" customHeight="1" x14ac:dyDescent="0.3">
      <c r="A287" s="36" t="s">
        <v>188</v>
      </c>
      <c r="B287" s="45" t="s">
        <v>189</v>
      </c>
      <c r="C287" s="28" t="s">
        <v>231</v>
      </c>
      <c r="D287" s="24" t="s">
        <v>36</v>
      </c>
      <c r="E287" s="28" t="s">
        <v>177</v>
      </c>
      <c r="F287" s="41" t="s">
        <v>404</v>
      </c>
      <c r="G287" s="28" t="s">
        <v>615</v>
      </c>
    </row>
    <row r="288" spans="1:7" ht="18" hidden="1" customHeight="1" x14ac:dyDescent="0.3">
      <c r="A288" s="36" t="s">
        <v>188</v>
      </c>
      <c r="B288" s="45" t="s">
        <v>189</v>
      </c>
      <c r="C288" s="28" t="s">
        <v>231</v>
      </c>
      <c r="D288" s="24" t="s">
        <v>36</v>
      </c>
      <c r="E288" s="28" t="s">
        <v>263</v>
      </c>
      <c r="F288" s="41" t="s">
        <v>404</v>
      </c>
      <c r="G288" s="28" t="s">
        <v>615</v>
      </c>
    </row>
    <row r="289" spans="1:7" ht="18" hidden="1" customHeight="1" x14ac:dyDescent="0.3">
      <c r="A289" s="36" t="s">
        <v>188</v>
      </c>
      <c r="B289" s="45" t="s">
        <v>189</v>
      </c>
      <c r="C289" s="28" t="s">
        <v>231</v>
      </c>
      <c r="D289" s="24" t="s">
        <v>36</v>
      </c>
      <c r="E289" s="28" t="s">
        <v>45</v>
      </c>
      <c r="F289" s="41" t="s">
        <v>404</v>
      </c>
      <c r="G289" s="28" t="s">
        <v>615</v>
      </c>
    </row>
    <row r="290" spans="1:7" ht="18" hidden="1" customHeight="1" x14ac:dyDescent="0.3">
      <c r="A290" s="38" t="s">
        <v>254</v>
      </c>
      <c r="B290" s="44" t="s">
        <v>255</v>
      </c>
      <c r="C290" s="22" t="s">
        <v>314</v>
      </c>
      <c r="D290" s="24" t="s">
        <v>36</v>
      </c>
      <c r="E290" s="22" t="s">
        <v>45</v>
      </c>
      <c r="F290" s="43" t="s">
        <v>616</v>
      </c>
      <c r="G290" s="22" t="s">
        <v>617</v>
      </c>
    </row>
    <row r="291" spans="1:7" ht="18" hidden="1" customHeight="1" x14ac:dyDescent="0.3">
      <c r="A291" s="32" t="s">
        <v>101</v>
      </c>
      <c r="B291" s="42" t="s">
        <v>41</v>
      </c>
      <c r="C291" s="28" t="s">
        <v>133</v>
      </c>
      <c r="D291" s="29" t="s">
        <v>41</v>
      </c>
      <c r="E291" s="28" t="s">
        <v>41</v>
      </c>
      <c r="F291" s="41" t="s">
        <v>410</v>
      </c>
      <c r="G291" s="28" t="s">
        <v>618</v>
      </c>
    </row>
    <row r="292" spans="1:7" ht="18" hidden="1" customHeight="1" x14ac:dyDescent="0.3">
      <c r="A292" s="38" t="s">
        <v>254</v>
      </c>
      <c r="B292" s="44" t="s">
        <v>255</v>
      </c>
      <c r="C292" s="22" t="s">
        <v>315</v>
      </c>
      <c r="D292" s="24" t="s">
        <v>36</v>
      </c>
      <c r="E292" s="22" t="s">
        <v>177</v>
      </c>
      <c r="F292" s="43" t="s">
        <v>415</v>
      </c>
      <c r="G292" s="22" t="s">
        <v>619</v>
      </c>
    </row>
    <row r="293" spans="1:7" ht="18" hidden="1" customHeight="1" x14ac:dyDescent="0.3">
      <c r="A293" s="38" t="s">
        <v>254</v>
      </c>
      <c r="B293" s="44" t="s">
        <v>255</v>
      </c>
      <c r="C293" s="28" t="s">
        <v>316</v>
      </c>
      <c r="D293" s="24" t="s">
        <v>36</v>
      </c>
      <c r="E293" s="28" t="s">
        <v>45</v>
      </c>
      <c r="F293" s="41" t="s">
        <v>415</v>
      </c>
      <c r="G293" s="28" t="s">
        <v>620</v>
      </c>
    </row>
    <row r="294" spans="1:7" ht="18" hidden="1" customHeight="1" x14ac:dyDescent="0.3">
      <c r="A294" s="38" t="s">
        <v>254</v>
      </c>
      <c r="B294" s="44" t="s">
        <v>255</v>
      </c>
      <c r="C294" s="22" t="s">
        <v>317</v>
      </c>
      <c r="D294" s="24" t="s">
        <v>36</v>
      </c>
      <c r="E294" s="22" t="s">
        <v>263</v>
      </c>
      <c r="F294" s="43" t="s">
        <v>389</v>
      </c>
      <c r="G294" s="22" t="s">
        <v>621</v>
      </c>
    </row>
    <row r="295" spans="1:7" ht="18" hidden="1" customHeight="1" x14ac:dyDescent="0.3">
      <c r="A295" s="38" t="s">
        <v>254</v>
      </c>
      <c r="B295" s="44" t="s">
        <v>255</v>
      </c>
      <c r="C295" s="22" t="s">
        <v>317</v>
      </c>
      <c r="D295" s="24" t="s">
        <v>36</v>
      </c>
      <c r="E295" s="22" t="s">
        <v>263</v>
      </c>
      <c r="F295" s="43" t="s">
        <v>517</v>
      </c>
      <c r="G295" s="22" t="s">
        <v>622</v>
      </c>
    </row>
    <row r="296" spans="1:7" ht="18" hidden="1" customHeight="1" x14ac:dyDescent="0.3">
      <c r="A296" s="38" t="s">
        <v>254</v>
      </c>
      <c r="B296" s="44" t="s">
        <v>255</v>
      </c>
      <c r="C296" s="28" t="s">
        <v>318</v>
      </c>
      <c r="D296" s="24" t="s">
        <v>36</v>
      </c>
      <c r="E296" s="28" t="s">
        <v>81</v>
      </c>
      <c r="F296" s="41" t="s">
        <v>415</v>
      </c>
      <c r="G296" s="28" t="s">
        <v>623</v>
      </c>
    </row>
    <row r="297" spans="1:7" ht="18" hidden="1" customHeight="1" x14ac:dyDescent="0.3">
      <c r="A297" s="32" t="s">
        <v>101</v>
      </c>
      <c r="B297" s="42" t="s">
        <v>41</v>
      </c>
      <c r="C297" s="22" t="s">
        <v>134</v>
      </c>
      <c r="D297" s="29" t="s">
        <v>41</v>
      </c>
      <c r="E297" s="22" t="s">
        <v>41</v>
      </c>
      <c r="F297" s="43" t="s">
        <v>458</v>
      </c>
      <c r="G297" s="22" t="s">
        <v>624</v>
      </c>
    </row>
    <row r="298" spans="1:7" ht="18" hidden="1" customHeight="1" x14ac:dyDescent="0.3">
      <c r="A298" s="38" t="s">
        <v>254</v>
      </c>
      <c r="B298" s="44" t="s">
        <v>255</v>
      </c>
      <c r="C298" s="28" t="s">
        <v>319</v>
      </c>
      <c r="D298" s="24" t="s">
        <v>36</v>
      </c>
      <c r="E298" s="28" t="s">
        <v>81</v>
      </c>
      <c r="F298" s="41" t="s">
        <v>399</v>
      </c>
      <c r="G298" s="28" t="s">
        <v>625</v>
      </c>
    </row>
    <row r="299" spans="1:7" ht="18" hidden="1" customHeight="1" x14ac:dyDescent="0.3">
      <c r="A299" s="36" t="s">
        <v>188</v>
      </c>
      <c r="B299" s="45" t="s">
        <v>189</v>
      </c>
      <c r="C299" s="22" t="s">
        <v>233</v>
      </c>
      <c r="D299" s="24" t="s">
        <v>36</v>
      </c>
      <c r="E299" s="22" t="s">
        <v>81</v>
      </c>
      <c r="F299" s="43" t="s">
        <v>415</v>
      </c>
      <c r="G299" s="22" t="s">
        <v>626</v>
      </c>
    </row>
    <row r="300" spans="1:7" ht="18" hidden="1" customHeight="1" x14ac:dyDescent="0.3">
      <c r="A300" s="36" t="s">
        <v>188</v>
      </c>
      <c r="B300" s="45" t="s">
        <v>189</v>
      </c>
      <c r="C300" s="22" t="s">
        <v>233</v>
      </c>
      <c r="D300" s="24" t="s">
        <v>36</v>
      </c>
      <c r="E300" s="22" t="s">
        <v>81</v>
      </c>
      <c r="F300" s="43" t="s">
        <v>415</v>
      </c>
      <c r="G300" s="22" t="s">
        <v>626</v>
      </c>
    </row>
    <row r="301" spans="1:7" ht="18" hidden="1" customHeight="1" x14ac:dyDescent="0.3">
      <c r="A301" s="36" t="s">
        <v>188</v>
      </c>
      <c r="B301" s="45" t="s">
        <v>189</v>
      </c>
      <c r="C301" s="22" t="s">
        <v>233</v>
      </c>
      <c r="D301" s="24" t="s">
        <v>36</v>
      </c>
      <c r="E301" s="22" t="s">
        <v>177</v>
      </c>
      <c r="F301" s="43" t="s">
        <v>415</v>
      </c>
      <c r="G301" s="22" t="s">
        <v>626</v>
      </c>
    </row>
    <row r="302" spans="1:7" ht="18" hidden="1" customHeight="1" x14ac:dyDescent="0.3">
      <c r="A302" s="36" t="s">
        <v>188</v>
      </c>
      <c r="B302" s="45" t="s">
        <v>189</v>
      </c>
      <c r="C302" s="22" t="s">
        <v>233</v>
      </c>
      <c r="D302" s="24" t="s">
        <v>36</v>
      </c>
      <c r="E302" s="22" t="s">
        <v>263</v>
      </c>
      <c r="F302" s="43" t="s">
        <v>415</v>
      </c>
      <c r="G302" s="22" t="s">
        <v>626</v>
      </c>
    </row>
    <row r="303" spans="1:7" ht="18" hidden="1" customHeight="1" x14ac:dyDescent="0.3">
      <c r="A303" s="34" t="s">
        <v>157</v>
      </c>
      <c r="B303" s="40" t="s">
        <v>158</v>
      </c>
      <c r="C303" s="28" t="s">
        <v>174</v>
      </c>
      <c r="D303" s="24" t="s">
        <v>36</v>
      </c>
      <c r="E303" s="28" t="s">
        <v>45</v>
      </c>
      <c r="F303" s="41" t="s">
        <v>396</v>
      </c>
      <c r="G303" s="28" t="s">
        <v>627</v>
      </c>
    </row>
    <row r="304" spans="1:7" ht="18" hidden="1" customHeight="1" x14ac:dyDescent="0.3">
      <c r="A304" s="34" t="s">
        <v>157</v>
      </c>
      <c r="B304" s="40" t="s">
        <v>158</v>
      </c>
      <c r="C304" s="28" t="s">
        <v>174</v>
      </c>
      <c r="D304" s="29" t="s">
        <v>41</v>
      </c>
      <c r="E304" s="28" t="s">
        <v>41</v>
      </c>
      <c r="F304" s="41" t="s">
        <v>435</v>
      </c>
      <c r="G304" s="28" t="s">
        <v>628</v>
      </c>
    </row>
    <row r="305" spans="1:7" ht="18" hidden="1" customHeight="1" x14ac:dyDescent="0.3">
      <c r="A305" s="38" t="s">
        <v>254</v>
      </c>
      <c r="B305" s="44" t="s">
        <v>255</v>
      </c>
      <c r="C305" s="22" t="s">
        <v>320</v>
      </c>
      <c r="D305" s="24" t="s">
        <v>36</v>
      </c>
      <c r="E305" s="22" t="s">
        <v>45</v>
      </c>
      <c r="F305" s="43" t="s">
        <v>389</v>
      </c>
      <c r="G305" s="22" t="s">
        <v>629</v>
      </c>
    </row>
    <row r="306" spans="1:7" ht="18" hidden="1" customHeight="1" x14ac:dyDescent="0.3">
      <c r="A306" s="36" t="s">
        <v>188</v>
      </c>
      <c r="B306" s="45" t="s">
        <v>189</v>
      </c>
      <c r="C306" s="28" t="s">
        <v>235</v>
      </c>
      <c r="D306" s="24" t="s">
        <v>36</v>
      </c>
      <c r="E306" s="28" t="s">
        <v>81</v>
      </c>
      <c r="F306" s="41" t="s">
        <v>399</v>
      </c>
      <c r="G306" s="28" t="s">
        <v>630</v>
      </c>
    </row>
    <row r="307" spans="1:7" ht="18" hidden="1" customHeight="1" x14ac:dyDescent="0.3">
      <c r="A307" s="36" t="s">
        <v>188</v>
      </c>
      <c r="B307" s="45" t="s">
        <v>189</v>
      </c>
      <c r="C307" s="28" t="s">
        <v>235</v>
      </c>
      <c r="D307" s="24" t="s">
        <v>36</v>
      </c>
      <c r="E307" s="28" t="s">
        <v>177</v>
      </c>
      <c r="F307" s="41" t="s">
        <v>399</v>
      </c>
      <c r="G307" s="28" t="s">
        <v>630</v>
      </c>
    </row>
    <row r="308" spans="1:7" ht="18" hidden="1" customHeight="1" x14ac:dyDescent="0.3">
      <c r="A308" s="36" t="s">
        <v>188</v>
      </c>
      <c r="B308" s="45" t="s">
        <v>189</v>
      </c>
      <c r="C308" s="28" t="s">
        <v>235</v>
      </c>
      <c r="D308" s="24" t="s">
        <v>36</v>
      </c>
      <c r="E308" s="28" t="s">
        <v>263</v>
      </c>
      <c r="F308" s="41" t="s">
        <v>399</v>
      </c>
      <c r="G308" s="28" t="s">
        <v>630</v>
      </c>
    </row>
    <row r="309" spans="1:7" ht="18" hidden="1" customHeight="1" x14ac:dyDescent="0.3">
      <c r="A309" s="36" t="s">
        <v>188</v>
      </c>
      <c r="B309" s="45" t="s">
        <v>189</v>
      </c>
      <c r="C309" s="28" t="s">
        <v>235</v>
      </c>
      <c r="D309" s="24" t="s">
        <v>36</v>
      </c>
      <c r="E309" s="28" t="s">
        <v>45</v>
      </c>
      <c r="F309" s="41" t="s">
        <v>399</v>
      </c>
      <c r="G309" s="28" t="s">
        <v>630</v>
      </c>
    </row>
    <row r="310" spans="1:7" ht="18" hidden="1" customHeight="1" x14ac:dyDescent="0.3">
      <c r="A310" s="38" t="s">
        <v>254</v>
      </c>
      <c r="B310" s="44" t="s">
        <v>255</v>
      </c>
      <c r="C310" s="22" t="s">
        <v>321</v>
      </c>
      <c r="D310" s="24" t="s">
        <v>36</v>
      </c>
      <c r="E310" s="22" t="s">
        <v>45</v>
      </c>
      <c r="F310" s="43" t="s">
        <v>631</v>
      </c>
      <c r="G310" s="22" t="s">
        <v>632</v>
      </c>
    </row>
    <row r="311" spans="1:7" ht="18" customHeight="1" x14ac:dyDescent="0.3">
      <c r="A311" s="38" t="s">
        <v>254</v>
      </c>
      <c r="B311" s="44" t="s">
        <v>255</v>
      </c>
      <c r="C311" s="28" t="s">
        <v>322</v>
      </c>
      <c r="D311" s="24" t="s">
        <v>36</v>
      </c>
      <c r="E311" s="28" t="s">
        <v>270</v>
      </c>
      <c r="F311" s="41" t="s">
        <v>404</v>
      </c>
      <c r="G311" s="28" t="s">
        <v>633</v>
      </c>
    </row>
    <row r="312" spans="1:7" ht="18" hidden="1" customHeight="1" x14ac:dyDescent="0.3">
      <c r="A312" s="36" t="s">
        <v>188</v>
      </c>
      <c r="B312" s="45" t="s">
        <v>189</v>
      </c>
      <c r="C312" s="22" t="s">
        <v>237</v>
      </c>
      <c r="D312" s="24" t="s">
        <v>36</v>
      </c>
      <c r="E312" s="22" t="s">
        <v>270</v>
      </c>
      <c r="F312" s="43" t="s">
        <v>389</v>
      </c>
      <c r="G312" s="22" t="s">
        <v>634</v>
      </c>
    </row>
    <row r="313" spans="1:7" ht="18" hidden="1" customHeight="1" x14ac:dyDescent="0.3">
      <c r="A313" s="36" t="s">
        <v>188</v>
      </c>
      <c r="B313" s="45" t="s">
        <v>189</v>
      </c>
      <c r="C313" s="22" t="s">
        <v>237</v>
      </c>
      <c r="D313" s="24" t="s">
        <v>36</v>
      </c>
      <c r="E313" s="22" t="s">
        <v>45</v>
      </c>
      <c r="F313" s="43" t="s">
        <v>389</v>
      </c>
      <c r="G313" s="22" t="s">
        <v>634</v>
      </c>
    </row>
    <row r="314" spans="1:7" ht="18" hidden="1" customHeight="1" x14ac:dyDescent="0.3">
      <c r="A314" s="32" t="s">
        <v>101</v>
      </c>
      <c r="B314" s="42" t="s">
        <v>41</v>
      </c>
      <c r="C314" s="28" t="s">
        <v>135</v>
      </c>
      <c r="D314" s="29" t="s">
        <v>41</v>
      </c>
      <c r="E314" s="28" t="s">
        <v>41</v>
      </c>
      <c r="F314" s="41" t="s">
        <v>392</v>
      </c>
      <c r="G314" s="28" t="s">
        <v>635</v>
      </c>
    </row>
    <row r="315" spans="1:7" ht="18" hidden="1" customHeight="1" x14ac:dyDescent="0.3">
      <c r="A315" s="38" t="s">
        <v>254</v>
      </c>
      <c r="B315" s="44" t="s">
        <v>255</v>
      </c>
      <c r="C315" s="22" t="s">
        <v>323</v>
      </c>
      <c r="D315" s="24" t="s">
        <v>36</v>
      </c>
      <c r="E315" s="22" t="s">
        <v>45</v>
      </c>
      <c r="F315" s="43" t="s">
        <v>636</v>
      </c>
      <c r="G315" s="22" t="s">
        <v>637</v>
      </c>
    </row>
    <row r="316" spans="1:7" ht="18" hidden="1" customHeight="1" x14ac:dyDescent="0.3">
      <c r="A316" s="38" t="s">
        <v>254</v>
      </c>
      <c r="B316" s="44" t="s">
        <v>255</v>
      </c>
      <c r="C316" s="28" t="s">
        <v>324</v>
      </c>
      <c r="D316" s="24" t="s">
        <v>36</v>
      </c>
      <c r="E316" s="28" t="s">
        <v>45</v>
      </c>
      <c r="F316" s="41" t="s">
        <v>396</v>
      </c>
      <c r="G316" s="28" t="s">
        <v>638</v>
      </c>
    </row>
    <row r="317" spans="1:7" ht="18" hidden="1" customHeight="1" x14ac:dyDescent="0.3">
      <c r="A317" s="36" t="s">
        <v>188</v>
      </c>
      <c r="B317" s="45" t="s">
        <v>189</v>
      </c>
      <c r="C317" s="22" t="s">
        <v>238</v>
      </c>
      <c r="D317" s="24" t="s">
        <v>36</v>
      </c>
      <c r="E317" s="22" t="s">
        <v>81</v>
      </c>
      <c r="F317" s="43" t="s">
        <v>426</v>
      </c>
      <c r="G317" s="22" t="s">
        <v>639</v>
      </c>
    </row>
    <row r="318" spans="1:7" ht="18" hidden="1" customHeight="1" x14ac:dyDescent="0.3">
      <c r="A318" s="36" t="s">
        <v>188</v>
      </c>
      <c r="B318" s="45" t="s">
        <v>189</v>
      </c>
      <c r="C318" s="22" t="s">
        <v>238</v>
      </c>
      <c r="D318" s="24" t="s">
        <v>36</v>
      </c>
      <c r="E318" s="22" t="s">
        <v>41</v>
      </c>
      <c r="F318" s="43" t="s">
        <v>426</v>
      </c>
      <c r="G318" s="22" t="s">
        <v>639</v>
      </c>
    </row>
    <row r="319" spans="1:7" ht="18" hidden="1" customHeight="1" x14ac:dyDescent="0.3">
      <c r="A319" s="38" t="s">
        <v>254</v>
      </c>
      <c r="B319" s="44" t="s">
        <v>255</v>
      </c>
      <c r="C319" s="28" t="s">
        <v>325</v>
      </c>
      <c r="D319" s="24" t="s">
        <v>36</v>
      </c>
      <c r="E319" s="28" t="s">
        <v>45</v>
      </c>
      <c r="F319" s="41" t="s">
        <v>415</v>
      </c>
      <c r="G319" s="28" t="s">
        <v>640</v>
      </c>
    </row>
    <row r="320" spans="1:7" ht="18" hidden="1" customHeight="1" x14ac:dyDescent="0.3">
      <c r="A320" s="38" t="s">
        <v>254</v>
      </c>
      <c r="B320" s="44" t="s">
        <v>255</v>
      </c>
      <c r="C320" s="22" t="s">
        <v>326</v>
      </c>
      <c r="D320" s="24" t="s">
        <v>36</v>
      </c>
      <c r="E320" s="22" t="s">
        <v>263</v>
      </c>
      <c r="F320" s="43" t="s">
        <v>404</v>
      </c>
      <c r="G320" s="22" t="s">
        <v>641</v>
      </c>
    </row>
    <row r="321" spans="1:7" ht="18" hidden="1" customHeight="1" x14ac:dyDescent="0.3">
      <c r="A321" s="34" t="s">
        <v>157</v>
      </c>
      <c r="B321" s="40" t="s">
        <v>158</v>
      </c>
      <c r="C321" s="28" t="s">
        <v>175</v>
      </c>
      <c r="D321" s="24" t="s">
        <v>36</v>
      </c>
      <c r="E321" s="28" t="s">
        <v>81</v>
      </c>
      <c r="F321" s="41" t="s">
        <v>458</v>
      </c>
      <c r="G321" s="28" t="s">
        <v>642</v>
      </c>
    </row>
    <row r="322" spans="1:7" ht="18" hidden="1" customHeight="1" x14ac:dyDescent="0.3">
      <c r="A322" s="34" t="s">
        <v>157</v>
      </c>
      <c r="B322" s="40" t="s">
        <v>158</v>
      </c>
      <c r="C322" s="28" t="s">
        <v>175</v>
      </c>
      <c r="D322" s="29" t="s">
        <v>41</v>
      </c>
      <c r="E322" s="28" t="s">
        <v>41</v>
      </c>
      <c r="F322" s="41" t="s">
        <v>458</v>
      </c>
      <c r="G322" s="28" t="s">
        <v>643</v>
      </c>
    </row>
    <row r="323" spans="1:7" ht="18" hidden="1" customHeight="1" x14ac:dyDescent="0.3">
      <c r="A323" s="36" t="s">
        <v>188</v>
      </c>
      <c r="B323" s="45" t="s">
        <v>189</v>
      </c>
      <c r="C323" s="22" t="s">
        <v>240</v>
      </c>
      <c r="D323" s="24" t="s">
        <v>36</v>
      </c>
      <c r="E323" s="22" t="s">
        <v>263</v>
      </c>
      <c r="F323" s="43" t="s">
        <v>415</v>
      </c>
      <c r="G323" s="22" t="s">
        <v>644</v>
      </c>
    </row>
    <row r="324" spans="1:7" ht="18" hidden="1" customHeight="1" x14ac:dyDescent="0.3">
      <c r="A324" s="36" t="s">
        <v>188</v>
      </c>
      <c r="B324" s="45" t="s">
        <v>189</v>
      </c>
      <c r="C324" s="22" t="s">
        <v>240</v>
      </c>
      <c r="D324" s="24" t="s">
        <v>36</v>
      </c>
      <c r="E324" s="22" t="s">
        <v>45</v>
      </c>
      <c r="F324" s="43" t="s">
        <v>415</v>
      </c>
      <c r="G324" s="22" t="s">
        <v>644</v>
      </c>
    </row>
    <row r="325" spans="1:7" ht="18" hidden="1" customHeight="1" x14ac:dyDescent="0.3">
      <c r="A325" s="34" t="s">
        <v>157</v>
      </c>
      <c r="B325" s="40" t="s">
        <v>158</v>
      </c>
      <c r="C325" s="28" t="s">
        <v>176</v>
      </c>
      <c r="D325" s="24" t="s">
        <v>36</v>
      </c>
      <c r="E325" s="28" t="s">
        <v>177</v>
      </c>
      <c r="F325" s="41" t="s">
        <v>415</v>
      </c>
      <c r="G325" s="28" t="s">
        <v>645</v>
      </c>
    </row>
    <row r="326" spans="1:7" ht="18" hidden="1" customHeight="1" x14ac:dyDescent="0.3">
      <c r="A326" s="34" t="s">
        <v>157</v>
      </c>
      <c r="B326" s="40" t="s">
        <v>158</v>
      </c>
      <c r="C326" s="28" t="s">
        <v>176</v>
      </c>
      <c r="D326" s="29" t="s">
        <v>41</v>
      </c>
      <c r="E326" s="28" t="s">
        <v>41</v>
      </c>
      <c r="F326" s="41" t="s">
        <v>415</v>
      </c>
      <c r="G326" s="28" t="s">
        <v>646</v>
      </c>
    </row>
    <row r="327" spans="1:7" ht="18" hidden="1" customHeight="1" x14ac:dyDescent="0.3">
      <c r="A327" s="36" t="s">
        <v>188</v>
      </c>
      <c r="B327" s="45" t="s">
        <v>189</v>
      </c>
      <c r="C327" s="22" t="s">
        <v>241</v>
      </c>
      <c r="D327" s="24" t="s">
        <v>36</v>
      </c>
      <c r="E327" s="22" t="s">
        <v>263</v>
      </c>
      <c r="F327" s="43" t="s">
        <v>410</v>
      </c>
      <c r="G327" s="22" t="s">
        <v>647</v>
      </c>
    </row>
    <row r="328" spans="1:7" ht="18" hidden="1" customHeight="1" x14ac:dyDescent="0.3">
      <c r="A328" s="36" t="s">
        <v>188</v>
      </c>
      <c r="B328" s="45" t="s">
        <v>189</v>
      </c>
      <c r="C328" s="22" t="s">
        <v>241</v>
      </c>
      <c r="D328" s="24" t="s">
        <v>36</v>
      </c>
      <c r="E328" s="22" t="s">
        <v>45</v>
      </c>
      <c r="F328" s="43" t="s">
        <v>410</v>
      </c>
      <c r="G328" s="22" t="s">
        <v>647</v>
      </c>
    </row>
    <row r="329" spans="1:7" ht="18" hidden="1" customHeight="1" x14ac:dyDescent="0.3">
      <c r="A329" s="38" t="s">
        <v>254</v>
      </c>
      <c r="B329" s="44" t="s">
        <v>255</v>
      </c>
      <c r="C329" s="28" t="s">
        <v>327</v>
      </c>
      <c r="D329" s="24" t="s">
        <v>36</v>
      </c>
      <c r="E329" s="28" t="s">
        <v>81</v>
      </c>
      <c r="F329" s="41" t="s">
        <v>389</v>
      </c>
      <c r="G329" s="28" t="s">
        <v>648</v>
      </c>
    </row>
    <row r="330" spans="1:7" ht="18" hidden="1" customHeight="1" x14ac:dyDescent="0.3">
      <c r="A330" s="32" t="s">
        <v>101</v>
      </c>
      <c r="B330" s="42" t="s">
        <v>41</v>
      </c>
      <c r="C330" s="22" t="s">
        <v>136</v>
      </c>
      <c r="D330" s="29" t="s">
        <v>41</v>
      </c>
      <c r="E330" s="22" t="s">
        <v>41</v>
      </c>
      <c r="F330" s="43" t="s">
        <v>392</v>
      </c>
      <c r="G330" s="22" t="s">
        <v>649</v>
      </c>
    </row>
    <row r="331" spans="1:7" ht="18" hidden="1" customHeight="1" x14ac:dyDescent="0.3">
      <c r="A331" s="38" t="s">
        <v>254</v>
      </c>
      <c r="B331" s="44" t="s">
        <v>255</v>
      </c>
      <c r="C331" s="28" t="s">
        <v>328</v>
      </c>
      <c r="D331" s="24" t="s">
        <v>36</v>
      </c>
      <c r="E331" s="28" t="s">
        <v>177</v>
      </c>
      <c r="F331" s="41" t="s">
        <v>415</v>
      </c>
      <c r="G331" s="28" t="s">
        <v>650</v>
      </c>
    </row>
    <row r="332" spans="1:7" ht="18" hidden="1" customHeight="1" x14ac:dyDescent="0.3">
      <c r="A332" s="32" t="s">
        <v>101</v>
      </c>
      <c r="B332" s="42" t="s">
        <v>41</v>
      </c>
      <c r="C332" s="22" t="s">
        <v>137</v>
      </c>
      <c r="D332" s="29" t="s">
        <v>41</v>
      </c>
      <c r="E332" s="22" t="s">
        <v>41</v>
      </c>
      <c r="F332" s="43" t="s">
        <v>528</v>
      </c>
      <c r="G332" s="22" t="s">
        <v>651</v>
      </c>
    </row>
    <row r="333" spans="1:7" ht="18" hidden="1" customHeight="1" x14ac:dyDescent="0.3">
      <c r="A333" s="32" t="s">
        <v>101</v>
      </c>
      <c r="B333" s="42" t="s">
        <v>41</v>
      </c>
      <c r="C333" s="28" t="s">
        <v>138</v>
      </c>
      <c r="D333" s="29" t="s">
        <v>41</v>
      </c>
      <c r="E333" s="28" t="s">
        <v>41</v>
      </c>
      <c r="F333" s="41" t="s">
        <v>421</v>
      </c>
      <c r="G333" s="28" t="s">
        <v>652</v>
      </c>
    </row>
    <row r="334" spans="1:7" ht="18" hidden="1" customHeight="1" x14ac:dyDescent="0.3">
      <c r="A334" s="32" t="s">
        <v>101</v>
      </c>
      <c r="B334" s="42" t="s">
        <v>41</v>
      </c>
      <c r="C334" s="22" t="s">
        <v>139</v>
      </c>
      <c r="D334" s="29" t="s">
        <v>41</v>
      </c>
      <c r="E334" s="22" t="s">
        <v>41</v>
      </c>
      <c r="F334" s="43" t="s">
        <v>392</v>
      </c>
      <c r="G334" s="22" t="s">
        <v>653</v>
      </c>
    </row>
    <row r="335" spans="1:7" ht="18" hidden="1" customHeight="1" x14ac:dyDescent="0.3">
      <c r="A335" s="32" t="s">
        <v>101</v>
      </c>
      <c r="B335" s="42" t="s">
        <v>41</v>
      </c>
      <c r="C335" s="28" t="s">
        <v>140</v>
      </c>
      <c r="D335" s="29" t="s">
        <v>41</v>
      </c>
      <c r="E335" s="28" t="s">
        <v>41</v>
      </c>
      <c r="F335" s="41" t="s">
        <v>404</v>
      </c>
      <c r="G335" s="28" t="s">
        <v>654</v>
      </c>
    </row>
    <row r="336" spans="1:7" ht="18" hidden="1" customHeight="1" x14ac:dyDescent="0.3">
      <c r="A336" s="20" t="s">
        <v>32</v>
      </c>
      <c r="B336" s="46" t="s">
        <v>33</v>
      </c>
      <c r="C336" s="22" t="s">
        <v>86</v>
      </c>
      <c r="D336" s="24" t="s">
        <v>36</v>
      </c>
      <c r="E336" s="22" t="s">
        <v>81</v>
      </c>
      <c r="F336" s="43" t="s">
        <v>492</v>
      </c>
      <c r="G336" s="22" t="s">
        <v>655</v>
      </c>
    </row>
    <row r="337" spans="1:7" ht="18" hidden="1" customHeight="1" x14ac:dyDescent="0.3">
      <c r="A337" s="20" t="s">
        <v>32</v>
      </c>
      <c r="B337" s="46" t="s">
        <v>33</v>
      </c>
      <c r="C337" s="22" t="s">
        <v>86</v>
      </c>
      <c r="D337" s="24" t="s">
        <v>36</v>
      </c>
      <c r="E337" s="22" t="s">
        <v>45</v>
      </c>
      <c r="F337" s="43" t="s">
        <v>492</v>
      </c>
      <c r="G337" s="22" t="s">
        <v>655</v>
      </c>
    </row>
    <row r="338" spans="1:7" ht="18" hidden="1" customHeight="1" x14ac:dyDescent="0.3">
      <c r="A338" s="32" t="s">
        <v>101</v>
      </c>
      <c r="B338" s="42" t="s">
        <v>41</v>
      </c>
      <c r="C338" s="28" t="s">
        <v>141</v>
      </c>
      <c r="D338" s="29" t="s">
        <v>41</v>
      </c>
      <c r="E338" s="28" t="s">
        <v>41</v>
      </c>
      <c r="F338" s="41" t="s">
        <v>496</v>
      </c>
      <c r="G338" s="28" t="s">
        <v>656</v>
      </c>
    </row>
    <row r="339" spans="1:7" ht="18" hidden="1" customHeight="1" x14ac:dyDescent="0.3">
      <c r="A339" s="32" t="s">
        <v>101</v>
      </c>
      <c r="B339" s="42" t="s">
        <v>41</v>
      </c>
      <c r="C339" s="22" t="s">
        <v>142</v>
      </c>
      <c r="D339" s="29" t="s">
        <v>41</v>
      </c>
      <c r="E339" s="22" t="s">
        <v>41</v>
      </c>
      <c r="F339" s="43" t="s">
        <v>392</v>
      </c>
      <c r="G339" s="22" t="s">
        <v>555</v>
      </c>
    </row>
    <row r="340" spans="1:7" ht="18" hidden="1" customHeight="1" x14ac:dyDescent="0.3">
      <c r="A340" s="38" t="s">
        <v>254</v>
      </c>
      <c r="B340" s="44" t="s">
        <v>255</v>
      </c>
      <c r="C340" s="28" t="s">
        <v>329</v>
      </c>
      <c r="D340" s="24" t="s">
        <v>36</v>
      </c>
      <c r="E340" s="28" t="s">
        <v>81</v>
      </c>
      <c r="F340" s="41" t="s">
        <v>657</v>
      </c>
      <c r="G340" s="28" t="s">
        <v>658</v>
      </c>
    </row>
    <row r="341" spans="1:7" ht="18" hidden="1" customHeight="1" x14ac:dyDescent="0.3">
      <c r="A341" s="38" t="s">
        <v>254</v>
      </c>
      <c r="B341" s="44" t="s">
        <v>255</v>
      </c>
      <c r="C341" s="22" t="s">
        <v>330</v>
      </c>
      <c r="D341" s="24" t="s">
        <v>36</v>
      </c>
      <c r="E341" s="22" t="s">
        <v>45</v>
      </c>
      <c r="F341" s="43" t="s">
        <v>415</v>
      </c>
      <c r="G341" s="22" t="s">
        <v>659</v>
      </c>
    </row>
    <row r="342" spans="1:7" ht="18" hidden="1" customHeight="1" x14ac:dyDescent="0.3">
      <c r="A342" s="38" t="s">
        <v>254</v>
      </c>
      <c r="B342" s="44" t="s">
        <v>255</v>
      </c>
      <c r="C342" s="28" t="s">
        <v>331</v>
      </c>
      <c r="D342" s="24" t="s">
        <v>36</v>
      </c>
      <c r="E342" s="28" t="s">
        <v>45</v>
      </c>
      <c r="F342" s="41" t="s">
        <v>657</v>
      </c>
      <c r="G342" s="28" t="s">
        <v>660</v>
      </c>
    </row>
    <row r="343" spans="1:7" ht="18" hidden="1" customHeight="1" x14ac:dyDescent="0.3">
      <c r="A343" s="36" t="s">
        <v>188</v>
      </c>
      <c r="B343" s="45" t="s">
        <v>189</v>
      </c>
      <c r="C343" s="22" t="s">
        <v>242</v>
      </c>
      <c r="D343" s="24" t="s">
        <v>36</v>
      </c>
      <c r="E343" s="22" t="s">
        <v>263</v>
      </c>
      <c r="F343" s="43" t="s">
        <v>546</v>
      </c>
      <c r="G343" s="22" t="s">
        <v>661</v>
      </c>
    </row>
    <row r="344" spans="1:7" ht="18" hidden="1" customHeight="1" x14ac:dyDescent="0.3">
      <c r="A344" s="36" t="s">
        <v>188</v>
      </c>
      <c r="B344" s="45" t="s">
        <v>189</v>
      </c>
      <c r="C344" s="22" t="s">
        <v>242</v>
      </c>
      <c r="D344" s="24" t="s">
        <v>36</v>
      </c>
      <c r="E344" s="22" t="s">
        <v>45</v>
      </c>
      <c r="F344" s="43" t="s">
        <v>546</v>
      </c>
      <c r="G344" s="22" t="s">
        <v>661</v>
      </c>
    </row>
    <row r="345" spans="1:7" ht="18" hidden="1" customHeight="1" x14ac:dyDescent="0.3">
      <c r="A345" s="32" t="s">
        <v>101</v>
      </c>
      <c r="B345" s="42" t="s">
        <v>41</v>
      </c>
      <c r="C345" s="28" t="s">
        <v>143</v>
      </c>
      <c r="D345" s="29" t="s">
        <v>41</v>
      </c>
      <c r="E345" s="28" t="s">
        <v>41</v>
      </c>
      <c r="F345" s="41" t="s">
        <v>435</v>
      </c>
      <c r="G345" s="28" t="s">
        <v>662</v>
      </c>
    </row>
    <row r="346" spans="1:7" ht="18" hidden="1" customHeight="1" x14ac:dyDescent="0.3">
      <c r="A346" s="20" t="s">
        <v>32</v>
      </c>
      <c r="B346" s="46" t="s">
        <v>33</v>
      </c>
      <c r="C346" s="22" t="s">
        <v>87</v>
      </c>
      <c r="D346" s="24" t="s">
        <v>36</v>
      </c>
      <c r="E346" s="22" t="s">
        <v>81</v>
      </c>
      <c r="F346" s="43" t="s">
        <v>408</v>
      </c>
      <c r="G346" s="22" t="s">
        <v>663</v>
      </c>
    </row>
    <row r="347" spans="1:7" ht="18" hidden="1" customHeight="1" x14ac:dyDescent="0.3">
      <c r="A347" s="20" t="s">
        <v>32</v>
      </c>
      <c r="B347" s="46" t="s">
        <v>33</v>
      </c>
      <c r="C347" s="22" t="s">
        <v>87</v>
      </c>
      <c r="D347" s="24" t="s">
        <v>36</v>
      </c>
      <c r="E347" s="22" t="s">
        <v>263</v>
      </c>
      <c r="F347" s="43" t="s">
        <v>408</v>
      </c>
      <c r="G347" s="22" t="s">
        <v>663</v>
      </c>
    </row>
    <row r="348" spans="1:7" ht="18" hidden="1" customHeight="1" x14ac:dyDescent="0.3">
      <c r="A348" s="20" t="s">
        <v>32</v>
      </c>
      <c r="B348" s="46" t="s">
        <v>33</v>
      </c>
      <c r="C348" s="22" t="s">
        <v>87</v>
      </c>
      <c r="D348" s="24" t="s">
        <v>36</v>
      </c>
      <c r="E348" s="22" t="s">
        <v>45</v>
      </c>
      <c r="F348" s="43" t="s">
        <v>408</v>
      </c>
      <c r="G348" s="22" t="s">
        <v>663</v>
      </c>
    </row>
    <row r="349" spans="1:7" ht="18" hidden="1" customHeight="1" x14ac:dyDescent="0.3">
      <c r="A349" s="20" t="s">
        <v>32</v>
      </c>
      <c r="B349" s="46" t="s">
        <v>33</v>
      </c>
      <c r="C349" s="22" t="s">
        <v>87</v>
      </c>
      <c r="D349" s="29" t="s">
        <v>41</v>
      </c>
      <c r="E349" s="22" t="s">
        <v>41</v>
      </c>
      <c r="F349" s="43" t="s">
        <v>404</v>
      </c>
      <c r="G349" s="22" t="s">
        <v>664</v>
      </c>
    </row>
    <row r="350" spans="1:7" ht="18" hidden="1" customHeight="1" x14ac:dyDescent="0.3">
      <c r="A350" s="20" t="s">
        <v>32</v>
      </c>
      <c r="B350" s="46" t="s">
        <v>33</v>
      </c>
      <c r="C350" s="28" t="s">
        <v>89</v>
      </c>
      <c r="D350" s="29" t="s">
        <v>41</v>
      </c>
      <c r="E350" s="28" t="s">
        <v>41</v>
      </c>
      <c r="F350" s="41" t="s">
        <v>665</v>
      </c>
      <c r="G350" s="28" t="s">
        <v>666</v>
      </c>
    </row>
    <row r="351" spans="1:7" ht="18" hidden="1" customHeight="1" x14ac:dyDescent="0.3">
      <c r="A351" s="36" t="s">
        <v>188</v>
      </c>
      <c r="B351" s="45" t="s">
        <v>189</v>
      </c>
      <c r="C351" s="22" t="s">
        <v>243</v>
      </c>
      <c r="D351" s="24" t="s">
        <v>36</v>
      </c>
      <c r="E351" s="22" t="s">
        <v>263</v>
      </c>
      <c r="F351" s="43" t="s">
        <v>415</v>
      </c>
      <c r="G351" s="22" t="s">
        <v>667</v>
      </c>
    </row>
    <row r="352" spans="1:7" ht="18" hidden="1" customHeight="1" x14ac:dyDescent="0.3">
      <c r="A352" s="36" t="s">
        <v>188</v>
      </c>
      <c r="B352" s="45" t="s">
        <v>189</v>
      </c>
      <c r="C352" s="22" t="s">
        <v>243</v>
      </c>
      <c r="D352" s="24" t="s">
        <v>36</v>
      </c>
      <c r="E352" s="22" t="s">
        <v>45</v>
      </c>
      <c r="F352" s="43" t="s">
        <v>415</v>
      </c>
      <c r="G352" s="22" t="s">
        <v>667</v>
      </c>
    </row>
    <row r="353" spans="1:7" ht="18" hidden="1" customHeight="1" x14ac:dyDescent="0.3">
      <c r="A353" s="38" t="s">
        <v>254</v>
      </c>
      <c r="B353" s="44" t="s">
        <v>255</v>
      </c>
      <c r="C353" s="28" t="s">
        <v>332</v>
      </c>
      <c r="D353" s="24" t="s">
        <v>36</v>
      </c>
      <c r="E353" s="28" t="s">
        <v>258</v>
      </c>
      <c r="F353" s="41" t="s">
        <v>616</v>
      </c>
      <c r="G353" s="28" t="s">
        <v>668</v>
      </c>
    </row>
    <row r="354" spans="1:7" ht="18" hidden="1" customHeight="1" x14ac:dyDescent="0.3">
      <c r="A354" s="38" t="s">
        <v>254</v>
      </c>
      <c r="B354" s="44" t="s">
        <v>255</v>
      </c>
      <c r="C354" s="22" t="s">
        <v>333</v>
      </c>
      <c r="D354" s="24" t="s">
        <v>36</v>
      </c>
      <c r="E354" s="22" t="s">
        <v>177</v>
      </c>
      <c r="F354" s="43" t="s">
        <v>415</v>
      </c>
      <c r="G354" s="22" t="s">
        <v>669</v>
      </c>
    </row>
    <row r="355" spans="1:7" ht="18" hidden="1" customHeight="1" x14ac:dyDescent="0.3">
      <c r="A355" s="36" t="s">
        <v>188</v>
      </c>
      <c r="B355" s="45" t="s">
        <v>189</v>
      </c>
      <c r="C355" s="28" t="s">
        <v>244</v>
      </c>
      <c r="D355" s="24" t="s">
        <v>36</v>
      </c>
      <c r="E355" s="28" t="s">
        <v>167</v>
      </c>
      <c r="F355" s="41" t="s">
        <v>426</v>
      </c>
      <c r="G355" s="28" t="s">
        <v>670</v>
      </c>
    </row>
    <row r="356" spans="1:7" ht="18" hidden="1" customHeight="1" x14ac:dyDescent="0.3">
      <c r="A356" s="36" t="s">
        <v>188</v>
      </c>
      <c r="B356" s="45" t="s">
        <v>189</v>
      </c>
      <c r="C356" s="28" t="s">
        <v>244</v>
      </c>
      <c r="D356" s="24" t="s">
        <v>36</v>
      </c>
      <c r="E356" s="28" t="s">
        <v>263</v>
      </c>
      <c r="F356" s="41" t="s">
        <v>426</v>
      </c>
      <c r="G356" s="28" t="s">
        <v>670</v>
      </c>
    </row>
    <row r="357" spans="1:7" ht="18" hidden="1" customHeight="1" x14ac:dyDescent="0.3">
      <c r="A357" s="36" t="s">
        <v>188</v>
      </c>
      <c r="B357" s="45" t="s">
        <v>189</v>
      </c>
      <c r="C357" s="28" t="s">
        <v>244</v>
      </c>
      <c r="D357" s="24" t="s">
        <v>36</v>
      </c>
      <c r="E357" s="28" t="s">
        <v>45</v>
      </c>
      <c r="F357" s="41" t="s">
        <v>426</v>
      </c>
      <c r="G357" s="28" t="s">
        <v>670</v>
      </c>
    </row>
    <row r="358" spans="1:7" ht="18" hidden="1" customHeight="1" x14ac:dyDescent="0.3">
      <c r="A358" s="38" t="s">
        <v>254</v>
      </c>
      <c r="B358" s="44" t="s">
        <v>255</v>
      </c>
      <c r="C358" s="22" t="s">
        <v>334</v>
      </c>
      <c r="D358" s="24" t="s">
        <v>36</v>
      </c>
      <c r="E358" s="22" t="s">
        <v>177</v>
      </c>
      <c r="F358" s="43" t="s">
        <v>415</v>
      </c>
      <c r="G358" s="22" t="s">
        <v>671</v>
      </c>
    </row>
    <row r="359" spans="1:7" ht="18" hidden="1" customHeight="1" x14ac:dyDescent="0.3">
      <c r="A359" s="34" t="s">
        <v>157</v>
      </c>
      <c r="B359" s="40" t="s">
        <v>158</v>
      </c>
      <c r="C359" s="28" t="s">
        <v>178</v>
      </c>
      <c r="D359" s="24" t="s">
        <v>36</v>
      </c>
      <c r="E359" s="28" t="s">
        <v>270</v>
      </c>
      <c r="F359" s="41" t="s">
        <v>389</v>
      </c>
      <c r="G359" s="28" t="s">
        <v>672</v>
      </c>
    </row>
    <row r="360" spans="1:7" ht="18" hidden="1" customHeight="1" x14ac:dyDescent="0.3">
      <c r="A360" s="34" t="s">
        <v>157</v>
      </c>
      <c r="B360" s="40" t="s">
        <v>158</v>
      </c>
      <c r="C360" s="28" t="s">
        <v>178</v>
      </c>
      <c r="D360" s="24" t="s">
        <v>36</v>
      </c>
      <c r="E360" s="28" t="s">
        <v>45</v>
      </c>
      <c r="F360" s="41" t="s">
        <v>389</v>
      </c>
      <c r="G360" s="28" t="s">
        <v>673</v>
      </c>
    </row>
    <row r="361" spans="1:7" ht="18" hidden="1" customHeight="1" x14ac:dyDescent="0.3">
      <c r="A361" s="34" t="s">
        <v>157</v>
      </c>
      <c r="B361" s="40" t="s">
        <v>158</v>
      </c>
      <c r="C361" s="28" t="s">
        <v>178</v>
      </c>
      <c r="D361" s="29" t="s">
        <v>41</v>
      </c>
      <c r="E361" s="28" t="s">
        <v>41</v>
      </c>
      <c r="F361" s="41" t="s">
        <v>392</v>
      </c>
      <c r="G361" s="28" t="s">
        <v>674</v>
      </c>
    </row>
    <row r="362" spans="1:7" ht="18" hidden="1" customHeight="1" x14ac:dyDescent="0.3">
      <c r="A362" s="34" t="s">
        <v>157</v>
      </c>
      <c r="B362" s="40" t="s">
        <v>158</v>
      </c>
      <c r="C362" s="22" t="s">
        <v>180</v>
      </c>
      <c r="D362" s="24" t="s">
        <v>36</v>
      </c>
      <c r="E362" s="22" t="s">
        <v>263</v>
      </c>
      <c r="F362" s="43" t="s">
        <v>396</v>
      </c>
      <c r="G362" s="22" t="s">
        <v>675</v>
      </c>
    </row>
    <row r="363" spans="1:7" ht="18" hidden="1" customHeight="1" x14ac:dyDescent="0.3">
      <c r="A363" s="34" t="s">
        <v>157</v>
      </c>
      <c r="B363" s="40" t="s">
        <v>158</v>
      </c>
      <c r="C363" s="22" t="s">
        <v>180</v>
      </c>
      <c r="D363" s="24" t="s">
        <v>36</v>
      </c>
      <c r="E363" s="22" t="s">
        <v>45</v>
      </c>
      <c r="F363" s="43" t="s">
        <v>676</v>
      </c>
      <c r="G363" s="22" t="s">
        <v>677</v>
      </c>
    </row>
    <row r="364" spans="1:7" ht="18" hidden="1" customHeight="1" x14ac:dyDescent="0.3">
      <c r="A364" s="34" t="s">
        <v>157</v>
      </c>
      <c r="B364" s="40" t="s">
        <v>158</v>
      </c>
      <c r="C364" s="22" t="s">
        <v>180</v>
      </c>
      <c r="D364" s="29" t="s">
        <v>41</v>
      </c>
      <c r="E364" s="22" t="s">
        <v>41</v>
      </c>
      <c r="F364" s="43" t="s">
        <v>421</v>
      </c>
      <c r="G364" s="22" t="s">
        <v>678</v>
      </c>
    </row>
    <row r="365" spans="1:7" ht="18" hidden="1" customHeight="1" x14ac:dyDescent="0.3">
      <c r="A365" s="20" t="s">
        <v>32</v>
      </c>
      <c r="B365" s="46" t="s">
        <v>33</v>
      </c>
      <c r="C365" s="28" t="s">
        <v>90</v>
      </c>
      <c r="D365" s="24" t="s">
        <v>36</v>
      </c>
      <c r="E365" s="28" t="s">
        <v>81</v>
      </c>
      <c r="F365" s="41" t="s">
        <v>415</v>
      </c>
      <c r="G365" s="28" t="s">
        <v>679</v>
      </c>
    </row>
    <row r="366" spans="1:7" ht="18" hidden="1" customHeight="1" x14ac:dyDescent="0.3">
      <c r="A366" s="20" t="s">
        <v>32</v>
      </c>
      <c r="B366" s="46" t="s">
        <v>33</v>
      </c>
      <c r="C366" s="28" t="s">
        <v>90</v>
      </c>
      <c r="D366" s="29" t="s">
        <v>41</v>
      </c>
      <c r="E366" s="28" t="s">
        <v>41</v>
      </c>
      <c r="F366" s="41" t="s">
        <v>401</v>
      </c>
      <c r="G366" s="28" t="s">
        <v>680</v>
      </c>
    </row>
    <row r="367" spans="1:7" ht="18" hidden="1" customHeight="1" x14ac:dyDescent="0.3">
      <c r="A367" s="38" t="s">
        <v>254</v>
      </c>
      <c r="B367" s="44" t="s">
        <v>255</v>
      </c>
      <c r="C367" s="22" t="s">
        <v>335</v>
      </c>
      <c r="D367" s="24" t="s">
        <v>36</v>
      </c>
      <c r="E367" s="22" t="s">
        <v>258</v>
      </c>
      <c r="F367" s="43" t="s">
        <v>415</v>
      </c>
      <c r="G367" s="22" t="s">
        <v>681</v>
      </c>
    </row>
    <row r="368" spans="1:7" ht="18" hidden="1" customHeight="1" x14ac:dyDescent="0.3">
      <c r="A368" s="38" t="s">
        <v>254</v>
      </c>
      <c r="B368" s="44" t="s">
        <v>255</v>
      </c>
      <c r="C368" s="28" t="s">
        <v>336</v>
      </c>
      <c r="D368" s="24" t="s">
        <v>36</v>
      </c>
      <c r="E368" s="28" t="s">
        <v>45</v>
      </c>
      <c r="F368" s="41" t="s">
        <v>492</v>
      </c>
      <c r="G368" s="28" t="s">
        <v>682</v>
      </c>
    </row>
    <row r="369" spans="1:7" ht="18" hidden="1" customHeight="1" x14ac:dyDescent="0.3">
      <c r="A369" s="38" t="s">
        <v>254</v>
      </c>
      <c r="B369" s="44" t="s">
        <v>255</v>
      </c>
      <c r="C369" s="22" t="s">
        <v>337</v>
      </c>
      <c r="D369" s="24" t="s">
        <v>36</v>
      </c>
      <c r="E369" s="22" t="s">
        <v>45</v>
      </c>
      <c r="F369" s="43" t="s">
        <v>401</v>
      </c>
      <c r="G369" s="22" t="s">
        <v>683</v>
      </c>
    </row>
    <row r="370" spans="1:7" ht="18" hidden="1" customHeight="1" x14ac:dyDescent="0.3">
      <c r="A370" s="32" t="s">
        <v>101</v>
      </c>
      <c r="B370" s="42" t="s">
        <v>41</v>
      </c>
      <c r="C370" s="28" t="s">
        <v>144</v>
      </c>
      <c r="D370" s="29" t="s">
        <v>41</v>
      </c>
      <c r="E370" s="28" t="s">
        <v>41</v>
      </c>
      <c r="F370" s="41" t="s">
        <v>559</v>
      </c>
      <c r="G370" s="28" t="s">
        <v>684</v>
      </c>
    </row>
    <row r="371" spans="1:7" ht="18" hidden="1" customHeight="1" x14ac:dyDescent="0.3">
      <c r="A371" s="38" t="s">
        <v>254</v>
      </c>
      <c r="B371" s="44" t="s">
        <v>255</v>
      </c>
      <c r="C371" s="22" t="s">
        <v>338</v>
      </c>
      <c r="D371" s="24" t="s">
        <v>36</v>
      </c>
      <c r="E371" s="22" t="s">
        <v>81</v>
      </c>
      <c r="F371" s="43" t="s">
        <v>517</v>
      </c>
      <c r="G371" s="22" t="s">
        <v>685</v>
      </c>
    </row>
    <row r="372" spans="1:7" ht="18" hidden="1" customHeight="1" x14ac:dyDescent="0.3">
      <c r="A372" s="32" t="s">
        <v>101</v>
      </c>
      <c r="B372" s="42" t="s">
        <v>41</v>
      </c>
      <c r="C372" s="28" t="s">
        <v>145</v>
      </c>
      <c r="D372" s="29" t="s">
        <v>41</v>
      </c>
      <c r="E372" s="28" t="s">
        <v>41</v>
      </c>
      <c r="F372" s="41" t="s">
        <v>421</v>
      </c>
      <c r="G372" s="28" t="s">
        <v>686</v>
      </c>
    </row>
    <row r="373" spans="1:7" ht="18" hidden="1" customHeight="1" x14ac:dyDescent="0.3">
      <c r="A373" s="36" t="s">
        <v>188</v>
      </c>
      <c r="B373" s="45" t="s">
        <v>189</v>
      </c>
      <c r="C373" s="22" t="s">
        <v>246</v>
      </c>
      <c r="D373" s="24" t="s">
        <v>36</v>
      </c>
      <c r="E373" s="22" t="s">
        <v>81</v>
      </c>
      <c r="F373" s="43" t="s">
        <v>410</v>
      </c>
      <c r="G373" s="22" t="s">
        <v>687</v>
      </c>
    </row>
    <row r="374" spans="1:7" ht="18" hidden="1" customHeight="1" x14ac:dyDescent="0.3">
      <c r="A374" s="36" t="s">
        <v>188</v>
      </c>
      <c r="B374" s="45" t="s">
        <v>189</v>
      </c>
      <c r="C374" s="22" t="s">
        <v>246</v>
      </c>
      <c r="D374" s="24" t="s">
        <v>36</v>
      </c>
      <c r="E374" s="22" t="s">
        <v>41</v>
      </c>
      <c r="F374" s="43" t="s">
        <v>410</v>
      </c>
      <c r="G374" s="22" t="s">
        <v>687</v>
      </c>
    </row>
    <row r="375" spans="1:7" ht="18" hidden="1" customHeight="1" x14ac:dyDescent="0.3">
      <c r="A375" s="36" t="s">
        <v>188</v>
      </c>
      <c r="B375" s="45" t="s">
        <v>189</v>
      </c>
      <c r="C375" s="22" t="s">
        <v>246</v>
      </c>
      <c r="D375" s="24" t="s">
        <v>36</v>
      </c>
      <c r="E375" s="22" t="s">
        <v>263</v>
      </c>
      <c r="F375" s="43" t="s">
        <v>410</v>
      </c>
      <c r="G375" s="22" t="s">
        <v>687</v>
      </c>
    </row>
    <row r="376" spans="1:7" ht="18" hidden="1" customHeight="1" x14ac:dyDescent="0.3">
      <c r="A376" s="36" t="s">
        <v>188</v>
      </c>
      <c r="B376" s="45" t="s">
        <v>189</v>
      </c>
      <c r="C376" s="22" t="s">
        <v>246</v>
      </c>
      <c r="D376" s="24" t="s">
        <v>36</v>
      </c>
      <c r="E376" s="22" t="s">
        <v>45</v>
      </c>
      <c r="F376" s="43" t="s">
        <v>410</v>
      </c>
      <c r="G376" s="22" t="s">
        <v>687</v>
      </c>
    </row>
    <row r="377" spans="1:7" ht="18" hidden="1" customHeight="1" x14ac:dyDescent="0.3">
      <c r="A377" s="38" t="s">
        <v>254</v>
      </c>
      <c r="B377" s="44" t="s">
        <v>255</v>
      </c>
      <c r="C377" s="28" t="s">
        <v>339</v>
      </c>
      <c r="D377" s="24" t="s">
        <v>36</v>
      </c>
      <c r="E377" s="28" t="s">
        <v>45</v>
      </c>
      <c r="F377" s="41" t="s">
        <v>410</v>
      </c>
      <c r="G377" s="28" t="s">
        <v>688</v>
      </c>
    </row>
    <row r="378" spans="1:7" ht="18" hidden="1" customHeight="1" x14ac:dyDescent="0.3">
      <c r="A378" s="34" t="s">
        <v>157</v>
      </c>
      <c r="B378" s="40" t="s">
        <v>158</v>
      </c>
      <c r="C378" s="22" t="s">
        <v>181</v>
      </c>
      <c r="D378" s="24" t="s">
        <v>36</v>
      </c>
      <c r="E378" s="22" t="s">
        <v>81</v>
      </c>
      <c r="F378" s="43" t="s">
        <v>415</v>
      </c>
      <c r="G378" s="22" t="s">
        <v>689</v>
      </c>
    </row>
    <row r="379" spans="1:7" ht="18" hidden="1" customHeight="1" x14ac:dyDescent="0.3">
      <c r="A379" s="34" t="s">
        <v>157</v>
      </c>
      <c r="B379" s="40" t="s">
        <v>158</v>
      </c>
      <c r="C379" s="22" t="s">
        <v>181</v>
      </c>
      <c r="D379" s="24" t="s">
        <v>36</v>
      </c>
      <c r="E379" s="22" t="s">
        <v>167</v>
      </c>
      <c r="F379" s="43" t="s">
        <v>415</v>
      </c>
      <c r="G379" s="22" t="s">
        <v>689</v>
      </c>
    </row>
    <row r="380" spans="1:7" ht="18" hidden="1" customHeight="1" x14ac:dyDescent="0.3">
      <c r="A380" s="34" t="s">
        <v>157</v>
      </c>
      <c r="B380" s="40" t="s">
        <v>158</v>
      </c>
      <c r="C380" s="22" t="s">
        <v>181</v>
      </c>
      <c r="D380" s="24" t="s">
        <v>36</v>
      </c>
      <c r="E380" s="22" t="s">
        <v>45</v>
      </c>
      <c r="F380" s="43" t="s">
        <v>415</v>
      </c>
      <c r="G380" s="22" t="s">
        <v>689</v>
      </c>
    </row>
    <row r="381" spans="1:7" ht="18" hidden="1" customHeight="1" x14ac:dyDescent="0.3">
      <c r="A381" s="34" t="s">
        <v>157</v>
      </c>
      <c r="B381" s="40" t="s">
        <v>158</v>
      </c>
      <c r="C381" s="22" t="s">
        <v>181</v>
      </c>
      <c r="D381" s="29" t="s">
        <v>41</v>
      </c>
      <c r="E381" s="22" t="s">
        <v>41</v>
      </c>
      <c r="F381" s="43" t="s">
        <v>510</v>
      </c>
      <c r="G381" s="22" t="s">
        <v>690</v>
      </c>
    </row>
    <row r="382" spans="1:7" ht="18" hidden="1" customHeight="1" x14ac:dyDescent="0.3">
      <c r="A382" s="36" t="s">
        <v>188</v>
      </c>
      <c r="B382" s="45" t="s">
        <v>189</v>
      </c>
      <c r="C382" s="28" t="s">
        <v>248</v>
      </c>
      <c r="D382" s="24" t="s">
        <v>36</v>
      </c>
      <c r="E382" s="28" t="s">
        <v>263</v>
      </c>
      <c r="F382" s="41" t="s">
        <v>415</v>
      </c>
      <c r="G382" s="28" t="s">
        <v>691</v>
      </c>
    </row>
    <row r="383" spans="1:7" ht="18" hidden="1" customHeight="1" x14ac:dyDescent="0.3">
      <c r="A383" s="36" t="s">
        <v>188</v>
      </c>
      <c r="B383" s="45" t="s">
        <v>189</v>
      </c>
      <c r="C383" s="28" t="s">
        <v>248</v>
      </c>
      <c r="D383" s="24" t="s">
        <v>36</v>
      </c>
      <c r="E383" s="28" t="s">
        <v>45</v>
      </c>
      <c r="F383" s="41" t="s">
        <v>415</v>
      </c>
      <c r="G383" s="28" t="s">
        <v>691</v>
      </c>
    </row>
    <row r="384" spans="1:7" ht="18" hidden="1" customHeight="1" x14ac:dyDescent="0.3">
      <c r="A384" s="38" t="s">
        <v>254</v>
      </c>
      <c r="B384" s="44" t="s">
        <v>255</v>
      </c>
      <c r="C384" s="22" t="s">
        <v>340</v>
      </c>
      <c r="D384" s="24" t="s">
        <v>36</v>
      </c>
      <c r="E384" s="22" t="s">
        <v>81</v>
      </c>
      <c r="F384" s="43" t="s">
        <v>396</v>
      </c>
      <c r="G384" s="22" t="s">
        <v>692</v>
      </c>
    </row>
    <row r="385" spans="1:7" ht="18" hidden="1" customHeight="1" x14ac:dyDescent="0.3">
      <c r="A385" s="36" t="s">
        <v>188</v>
      </c>
      <c r="B385" s="45" t="s">
        <v>189</v>
      </c>
      <c r="C385" s="28" t="s">
        <v>249</v>
      </c>
      <c r="D385" s="24" t="s">
        <v>36</v>
      </c>
      <c r="E385" s="28" t="s">
        <v>81</v>
      </c>
      <c r="F385" s="41" t="s">
        <v>389</v>
      </c>
      <c r="G385" s="28" t="s">
        <v>693</v>
      </c>
    </row>
    <row r="386" spans="1:7" ht="18" hidden="1" customHeight="1" x14ac:dyDescent="0.3">
      <c r="A386" s="36" t="s">
        <v>188</v>
      </c>
      <c r="B386" s="45" t="s">
        <v>189</v>
      </c>
      <c r="C386" s="28" t="s">
        <v>249</v>
      </c>
      <c r="D386" s="24" t="s">
        <v>36</v>
      </c>
      <c r="E386" s="28" t="s">
        <v>167</v>
      </c>
      <c r="F386" s="41" t="s">
        <v>389</v>
      </c>
      <c r="G386" s="28" t="s">
        <v>693</v>
      </c>
    </row>
    <row r="387" spans="1:7" ht="18" hidden="1" customHeight="1" x14ac:dyDescent="0.3">
      <c r="A387" s="36" t="s">
        <v>188</v>
      </c>
      <c r="B387" s="45" t="s">
        <v>189</v>
      </c>
      <c r="C387" s="28" t="s">
        <v>249</v>
      </c>
      <c r="D387" s="24" t="s">
        <v>36</v>
      </c>
      <c r="E387" s="28" t="s">
        <v>45</v>
      </c>
      <c r="F387" s="41" t="s">
        <v>389</v>
      </c>
      <c r="G387" s="28" t="s">
        <v>693</v>
      </c>
    </row>
    <row r="388" spans="1:7" ht="18" hidden="1" customHeight="1" x14ac:dyDescent="0.3">
      <c r="A388" s="36" t="s">
        <v>188</v>
      </c>
      <c r="B388" s="45" t="s">
        <v>189</v>
      </c>
      <c r="C388" s="22" t="s">
        <v>250</v>
      </c>
      <c r="D388" s="24" t="s">
        <v>36</v>
      </c>
      <c r="E388" s="22" t="s">
        <v>258</v>
      </c>
      <c r="F388" s="43" t="s">
        <v>510</v>
      </c>
      <c r="G388" s="22" t="s">
        <v>694</v>
      </c>
    </row>
    <row r="389" spans="1:7" ht="18" hidden="1" customHeight="1" x14ac:dyDescent="0.3">
      <c r="A389" s="36" t="s">
        <v>188</v>
      </c>
      <c r="B389" s="45" t="s">
        <v>189</v>
      </c>
      <c r="C389" s="22" t="s">
        <v>250</v>
      </c>
      <c r="D389" s="24" t="s">
        <v>36</v>
      </c>
      <c r="E389" s="22" t="s">
        <v>81</v>
      </c>
      <c r="F389" s="43" t="s">
        <v>510</v>
      </c>
      <c r="G389" s="22" t="s">
        <v>694</v>
      </c>
    </row>
    <row r="390" spans="1:7" ht="18" hidden="1" customHeight="1" x14ac:dyDescent="0.3">
      <c r="A390" s="36" t="s">
        <v>188</v>
      </c>
      <c r="B390" s="45" t="s">
        <v>189</v>
      </c>
      <c r="C390" s="22" t="s">
        <v>250</v>
      </c>
      <c r="D390" s="24" t="s">
        <v>36</v>
      </c>
      <c r="E390" s="22" t="s">
        <v>177</v>
      </c>
      <c r="F390" s="43" t="s">
        <v>510</v>
      </c>
      <c r="G390" s="22" t="s">
        <v>694</v>
      </c>
    </row>
    <row r="391" spans="1:7" ht="18" hidden="1" customHeight="1" x14ac:dyDescent="0.3">
      <c r="A391" s="36" t="s">
        <v>188</v>
      </c>
      <c r="B391" s="45" t="s">
        <v>189</v>
      </c>
      <c r="C391" s="22" t="s">
        <v>250</v>
      </c>
      <c r="D391" s="24" t="s">
        <v>36</v>
      </c>
      <c r="E391" s="22" t="s">
        <v>41</v>
      </c>
      <c r="F391" s="43" t="s">
        <v>437</v>
      </c>
      <c r="G391" s="22" t="s">
        <v>695</v>
      </c>
    </row>
    <row r="392" spans="1:7" ht="18" hidden="1" customHeight="1" x14ac:dyDescent="0.3">
      <c r="A392" s="36" t="s">
        <v>188</v>
      </c>
      <c r="B392" s="45" t="s">
        <v>189</v>
      </c>
      <c r="C392" s="22" t="s">
        <v>250</v>
      </c>
      <c r="D392" s="24" t="s">
        <v>36</v>
      </c>
      <c r="E392" s="22" t="s">
        <v>263</v>
      </c>
      <c r="F392" s="43" t="s">
        <v>510</v>
      </c>
      <c r="G392" s="22" t="s">
        <v>694</v>
      </c>
    </row>
    <row r="393" spans="1:7" ht="18" hidden="1" customHeight="1" x14ac:dyDescent="0.3">
      <c r="A393" s="36" t="s">
        <v>188</v>
      </c>
      <c r="B393" s="45" t="s">
        <v>189</v>
      </c>
      <c r="C393" s="22" t="s">
        <v>250</v>
      </c>
      <c r="D393" s="24" t="s">
        <v>36</v>
      </c>
      <c r="E393" s="22" t="s">
        <v>45</v>
      </c>
      <c r="F393" s="43" t="s">
        <v>510</v>
      </c>
      <c r="G393" s="22" t="s">
        <v>694</v>
      </c>
    </row>
    <row r="394" spans="1:7" ht="18" hidden="1" customHeight="1" x14ac:dyDescent="0.3">
      <c r="A394" s="36" t="s">
        <v>188</v>
      </c>
      <c r="B394" s="45" t="s">
        <v>189</v>
      </c>
      <c r="C394" s="28" t="s">
        <v>251</v>
      </c>
      <c r="D394" s="24" t="s">
        <v>36</v>
      </c>
      <c r="E394" s="28" t="s">
        <v>258</v>
      </c>
      <c r="F394" s="41" t="s">
        <v>415</v>
      </c>
      <c r="G394" s="28" t="s">
        <v>696</v>
      </c>
    </row>
    <row r="395" spans="1:7" ht="18" hidden="1" customHeight="1" x14ac:dyDescent="0.3">
      <c r="A395" s="36" t="s">
        <v>188</v>
      </c>
      <c r="B395" s="45" t="s">
        <v>189</v>
      </c>
      <c r="C395" s="28" t="s">
        <v>251</v>
      </c>
      <c r="D395" s="24" t="s">
        <v>36</v>
      </c>
      <c r="E395" s="28" t="s">
        <v>81</v>
      </c>
      <c r="F395" s="41" t="s">
        <v>415</v>
      </c>
      <c r="G395" s="28" t="s">
        <v>696</v>
      </c>
    </row>
    <row r="396" spans="1:7" ht="18" hidden="1" customHeight="1" x14ac:dyDescent="0.3">
      <c r="A396" s="36" t="s">
        <v>188</v>
      </c>
      <c r="B396" s="45" t="s">
        <v>189</v>
      </c>
      <c r="C396" s="28" t="s">
        <v>251</v>
      </c>
      <c r="D396" s="24" t="s">
        <v>36</v>
      </c>
      <c r="E396" s="28" t="s">
        <v>177</v>
      </c>
      <c r="F396" s="41" t="s">
        <v>415</v>
      </c>
      <c r="G396" s="28" t="s">
        <v>696</v>
      </c>
    </row>
    <row r="397" spans="1:7" ht="18" hidden="1" customHeight="1" x14ac:dyDescent="0.3">
      <c r="A397" s="36" t="s">
        <v>188</v>
      </c>
      <c r="B397" s="45" t="s">
        <v>189</v>
      </c>
      <c r="C397" s="28" t="s">
        <v>251</v>
      </c>
      <c r="D397" s="24" t="s">
        <v>36</v>
      </c>
      <c r="E397" s="28" t="s">
        <v>45</v>
      </c>
      <c r="F397" s="41" t="s">
        <v>415</v>
      </c>
      <c r="G397" s="28" t="s">
        <v>696</v>
      </c>
    </row>
    <row r="398" spans="1:7" ht="18" hidden="1" customHeight="1" x14ac:dyDescent="0.3">
      <c r="A398" s="38" t="s">
        <v>254</v>
      </c>
      <c r="B398" s="44" t="s">
        <v>255</v>
      </c>
      <c r="C398" s="22" t="s">
        <v>341</v>
      </c>
      <c r="D398" s="24" t="s">
        <v>36</v>
      </c>
      <c r="E398" s="22" t="s">
        <v>45</v>
      </c>
      <c r="F398" s="43" t="s">
        <v>426</v>
      </c>
      <c r="G398" s="22" t="s">
        <v>697</v>
      </c>
    </row>
    <row r="399" spans="1:7" ht="18" hidden="1" customHeight="1" x14ac:dyDescent="0.3">
      <c r="A399" s="38" t="s">
        <v>254</v>
      </c>
      <c r="B399" s="44" t="s">
        <v>255</v>
      </c>
      <c r="C399" s="28" t="s">
        <v>342</v>
      </c>
      <c r="D399" s="24" t="s">
        <v>36</v>
      </c>
      <c r="E399" s="28" t="s">
        <v>45</v>
      </c>
      <c r="F399" s="41" t="s">
        <v>426</v>
      </c>
      <c r="G399" s="28" t="s">
        <v>698</v>
      </c>
    </row>
    <row r="400" spans="1:7" ht="18" hidden="1" customHeight="1" x14ac:dyDescent="0.3">
      <c r="A400" s="38" t="s">
        <v>254</v>
      </c>
      <c r="B400" s="44" t="s">
        <v>255</v>
      </c>
      <c r="C400" s="22" t="s">
        <v>343</v>
      </c>
      <c r="D400" s="24" t="s">
        <v>36</v>
      </c>
      <c r="E400" s="22" t="s">
        <v>45</v>
      </c>
      <c r="F400" s="43" t="s">
        <v>517</v>
      </c>
      <c r="G400" s="22" t="s">
        <v>699</v>
      </c>
    </row>
    <row r="401" spans="1:7" ht="18" hidden="1" customHeight="1" x14ac:dyDescent="0.3">
      <c r="A401" s="34" t="s">
        <v>157</v>
      </c>
      <c r="B401" s="40" t="s">
        <v>158</v>
      </c>
      <c r="C401" s="28" t="s">
        <v>183</v>
      </c>
      <c r="D401" s="24" t="s">
        <v>36</v>
      </c>
      <c r="E401" s="28" t="s">
        <v>81</v>
      </c>
      <c r="F401" s="41" t="s">
        <v>415</v>
      </c>
      <c r="G401" s="28" t="s">
        <v>700</v>
      </c>
    </row>
    <row r="402" spans="1:7" ht="18" hidden="1" customHeight="1" x14ac:dyDescent="0.3">
      <c r="A402" s="34" t="s">
        <v>157</v>
      </c>
      <c r="B402" s="40" t="s">
        <v>158</v>
      </c>
      <c r="C402" s="28" t="s">
        <v>183</v>
      </c>
      <c r="D402" s="24" t="s">
        <v>36</v>
      </c>
      <c r="E402" s="28" t="s">
        <v>177</v>
      </c>
      <c r="F402" s="41" t="s">
        <v>415</v>
      </c>
      <c r="G402" s="28" t="s">
        <v>700</v>
      </c>
    </row>
    <row r="403" spans="1:7" ht="18" hidden="1" customHeight="1" x14ac:dyDescent="0.3">
      <c r="A403" s="34" t="s">
        <v>157</v>
      </c>
      <c r="B403" s="40" t="s">
        <v>158</v>
      </c>
      <c r="C403" s="28" t="s">
        <v>183</v>
      </c>
      <c r="D403" s="29" t="s">
        <v>41</v>
      </c>
      <c r="E403" s="28" t="s">
        <v>41</v>
      </c>
      <c r="F403" s="41" t="s">
        <v>410</v>
      </c>
      <c r="G403" s="28" t="s">
        <v>700</v>
      </c>
    </row>
    <row r="404" spans="1:7" ht="18" hidden="1" customHeight="1" x14ac:dyDescent="0.3">
      <c r="A404" s="32" t="s">
        <v>101</v>
      </c>
      <c r="B404" s="42" t="s">
        <v>41</v>
      </c>
      <c r="C404" s="22" t="s">
        <v>146</v>
      </c>
      <c r="D404" s="29" t="s">
        <v>41</v>
      </c>
      <c r="E404" s="22" t="s">
        <v>41</v>
      </c>
      <c r="F404" s="43" t="s">
        <v>399</v>
      </c>
      <c r="G404" s="22" t="s">
        <v>701</v>
      </c>
    </row>
    <row r="405" spans="1:7" ht="18" hidden="1" customHeight="1" x14ac:dyDescent="0.3">
      <c r="A405" s="20" t="s">
        <v>32</v>
      </c>
      <c r="B405" s="46" t="s">
        <v>33</v>
      </c>
      <c r="C405" s="28" t="s">
        <v>91</v>
      </c>
      <c r="D405" s="24" t="s">
        <v>36</v>
      </c>
      <c r="E405" s="28" t="s">
        <v>263</v>
      </c>
      <c r="F405" s="41" t="s">
        <v>389</v>
      </c>
      <c r="G405" s="28" t="s">
        <v>702</v>
      </c>
    </row>
    <row r="406" spans="1:7" ht="18" hidden="1" customHeight="1" x14ac:dyDescent="0.3">
      <c r="A406" s="20" t="s">
        <v>32</v>
      </c>
      <c r="B406" s="46" t="s">
        <v>33</v>
      </c>
      <c r="C406" s="28" t="s">
        <v>91</v>
      </c>
      <c r="D406" s="24" t="s">
        <v>36</v>
      </c>
      <c r="E406" s="28" t="s">
        <v>45</v>
      </c>
      <c r="F406" s="41" t="s">
        <v>389</v>
      </c>
      <c r="G406" s="28" t="s">
        <v>702</v>
      </c>
    </row>
    <row r="407" spans="1:7" ht="18" hidden="1" customHeight="1" x14ac:dyDescent="0.3">
      <c r="A407" s="20" t="s">
        <v>32</v>
      </c>
      <c r="B407" s="46" t="s">
        <v>33</v>
      </c>
      <c r="C407" s="22" t="s">
        <v>92</v>
      </c>
      <c r="D407" s="29" t="s">
        <v>41</v>
      </c>
      <c r="E407" s="22" t="s">
        <v>41</v>
      </c>
      <c r="F407" s="43" t="s">
        <v>389</v>
      </c>
      <c r="G407" s="22" t="s">
        <v>703</v>
      </c>
    </row>
    <row r="408" spans="1:7" ht="18" hidden="1" customHeight="1" x14ac:dyDescent="0.3">
      <c r="A408" s="20" t="s">
        <v>32</v>
      </c>
      <c r="B408" s="46" t="s">
        <v>33</v>
      </c>
      <c r="C408" s="28" t="s">
        <v>93</v>
      </c>
      <c r="D408" s="29" t="s">
        <v>41</v>
      </c>
      <c r="E408" s="28" t="s">
        <v>41</v>
      </c>
      <c r="F408" s="41" t="s">
        <v>408</v>
      </c>
      <c r="G408" s="28" t="s">
        <v>704</v>
      </c>
    </row>
    <row r="409" spans="1:7" ht="18" hidden="1" customHeight="1" x14ac:dyDescent="0.3">
      <c r="A409" s="20" t="s">
        <v>32</v>
      </c>
      <c r="B409" s="46" t="s">
        <v>33</v>
      </c>
      <c r="C409" s="22" t="s">
        <v>94</v>
      </c>
      <c r="D409" s="29" t="s">
        <v>41</v>
      </c>
      <c r="E409" s="22" t="s">
        <v>41</v>
      </c>
      <c r="F409" s="43" t="s">
        <v>408</v>
      </c>
      <c r="G409" s="22" t="s">
        <v>705</v>
      </c>
    </row>
    <row r="410" spans="1:7" ht="18" hidden="1" customHeight="1" x14ac:dyDescent="0.3">
      <c r="A410" s="38" t="s">
        <v>254</v>
      </c>
      <c r="B410" s="44" t="s">
        <v>255</v>
      </c>
      <c r="C410" s="28" t="s">
        <v>344</v>
      </c>
      <c r="D410" s="24" t="s">
        <v>36</v>
      </c>
      <c r="E410" s="28" t="s">
        <v>81</v>
      </c>
      <c r="F410" s="41" t="s">
        <v>469</v>
      </c>
      <c r="G410" s="28" t="s">
        <v>706</v>
      </c>
    </row>
    <row r="411" spans="1:7" ht="18" hidden="1" customHeight="1" x14ac:dyDescent="0.3">
      <c r="A411" s="38" t="s">
        <v>254</v>
      </c>
      <c r="B411" s="44" t="s">
        <v>255</v>
      </c>
      <c r="C411" s="22" t="s">
        <v>345</v>
      </c>
      <c r="D411" s="24" t="s">
        <v>36</v>
      </c>
      <c r="E411" s="22" t="s">
        <v>45</v>
      </c>
      <c r="F411" s="43" t="s">
        <v>469</v>
      </c>
      <c r="G411" s="22" t="s">
        <v>707</v>
      </c>
    </row>
    <row r="412" spans="1:7" ht="18" hidden="1" customHeight="1" x14ac:dyDescent="0.3">
      <c r="A412" s="36" t="s">
        <v>188</v>
      </c>
      <c r="B412" s="45" t="s">
        <v>189</v>
      </c>
      <c r="C412" s="28" t="s">
        <v>253</v>
      </c>
      <c r="D412" s="24" t="s">
        <v>36</v>
      </c>
      <c r="E412" s="28" t="s">
        <v>81</v>
      </c>
      <c r="F412" s="41" t="s">
        <v>410</v>
      </c>
      <c r="G412" s="28" t="s">
        <v>708</v>
      </c>
    </row>
    <row r="413" spans="1:7" ht="18" hidden="1" customHeight="1" x14ac:dyDescent="0.3">
      <c r="A413" s="36" t="s">
        <v>188</v>
      </c>
      <c r="B413" s="45" t="s">
        <v>189</v>
      </c>
      <c r="C413" s="28" t="s">
        <v>253</v>
      </c>
      <c r="D413" s="24" t="s">
        <v>36</v>
      </c>
      <c r="E413" s="28" t="s">
        <v>45</v>
      </c>
      <c r="F413" s="41" t="s">
        <v>410</v>
      </c>
      <c r="G413" s="28" t="s">
        <v>708</v>
      </c>
    </row>
    <row r="414" spans="1:7" ht="18" hidden="1" customHeight="1" x14ac:dyDescent="0.3">
      <c r="A414" s="38" t="s">
        <v>254</v>
      </c>
      <c r="B414" s="44" t="s">
        <v>255</v>
      </c>
      <c r="C414" s="22" t="s">
        <v>346</v>
      </c>
      <c r="D414" s="24" t="s">
        <v>36</v>
      </c>
      <c r="E414" s="22" t="s">
        <v>45</v>
      </c>
      <c r="F414" s="43" t="s">
        <v>399</v>
      </c>
      <c r="G414" s="22" t="s">
        <v>709</v>
      </c>
    </row>
    <row r="415" spans="1:7" ht="18" hidden="1" customHeight="1" x14ac:dyDescent="0.3">
      <c r="A415" s="38" t="s">
        <v>254</v>
      </c>
      <c r="B415" s="44" t="s">
        <v>255</v>
      </c>
      <c r="C415" s="28" t="s">
        <v>347</v>
      </c>
      <c r="D415" s="24" t="s">
        <v>36</v>
      </c>
      <c r="E415" s="28" t="s">
        <v>45</v>
      </c>
      <c r="F415" s="41" t="s">
        <v>510</v>
      </c>
      <c r="G415" s="28" t="s">
        <v>710</v>
      </c>
    </row>
    <row r="416" spans="1:7" ht="18" hidden="1" customHeight="1" x14ac:dyDescent="0.3">
      <c r="A416" s="38" t="s">
        <v>254</v>
      </c>
      <c r="B416" s="44" t="s">
        <v>255</v>
      </c>
      <c r="C416" s="22" t="s">
        <v>348</v>
      </c>
      <c r="D416" s="24" t="s">
        <v>36</v>
      </c>
      <c r="E416" s="22" t="s">
        <v>45</v>
      </c>
      <c r="F416" s="43" t="s">
        <v>469</v>
      </c>
      <c r="G416" s="22" t="s">
        <v>711</v>
      </c>
    </row>
    <row r="417" spans="1:7" ht="18" hidden="1" customHeight="1" x14ac:dyDescent="0.3">
      <c r="A417" s="32" t="s">
        <v>101</v>
      </c>
      <c r="B417" s="42" t="s">
        <v>41</v>
      </c>
      <c r="C417" s="28" t="s">
        <v>147</v>
      </c>
      <c r="D417" s="29" t="s">
        <v>41</v>
      </c>
      <c r="E417" s="28" t="s">
        <v>41</v>
      </c>
      <c r="F417" s="41" t="s">
        <v>421</v>
      </c>
      <c r="G417" s="28" t="s">
        <v>712</v>
      </c>
    </row>
    <row r="418" spans="1:7" ht="18" hidden="1" customHeight="1" x14ac:dyDescent="0.3">
      <c r="A418" s="32" t="s">
        <v>101</v>
      </c>
      <c r="B418" s="42" t="s">
        <v>41</v>
      </c>
      <c r="C418" s="22" t="s">
        <v>148</v>
      </c>
      <c r="D418" s="29" t="s">
        <v>41</v>
      </c>
      <c r="E418" s="22" t="s">
        <v>41</v>
      </c>
      <c r="F418" s="43" t="s">
        <v>713</v>
      </c>
      <c r="G418" s="22" t="s">
        <v>714</v>
      </c>
    </row>
    <row r="419" spans="1:7" ht="18" hidden="1" customHeight="1" x14ac:dyDescent="0.3">
      <c r="A419" s="38" t="s">
        <v>254</v>
      </c>
      <c r="B419" s="44" t="s">
        <v>255</v>
      </c>
      <c r="C419" s="28" t="s">
        <v>349</v>
      </c>
      <c r="D419" s="24" t="s">
        <v>36</v>
      </c>
      <c r="E419" s="28" t="s">
        <v>45</v>
      </c>
      <c r="F419" s="41" t="s">
        <v>389</v>
      </c>
      <c r="G419" s="28" t="s">
        <v>715</v>
      </c>
    </row>
    <row r="420" spans="1:7" ht="18" hidden="1" customHeight="1" x14ac:dyDescent="0.3">
      <c r="A420" s="20" t="s">
        <v>32</v>
      </c>
      <c r="B420" s="46" t="s">
        <v>33</v>
      </c>
      <c r="C420" s="22" t="s">
        <v>95</v>
      </c>
      <c r="D420" s="24" t="s">
        <v>36</v>
      </c>
      <c r="E420" s="22" t="s">
        <v>258</v>
      </c>
      <c r="F420" s="43" t="s">
        <v>399</v>
      </c>
      <c r="G420" s="22" t="s">
        <v>716</v>
      </c>
    </row>
    <row r="421" spans="1:7" ht="18" hidden="1" customHeight="1" x14ac:dyDescent="0.3">
      <c r="A421" s="20" t="s">
        <v>32</v>
      </c>
      <c r="B421" s="46" t="s">
        <v>33</v>
      </c>
      <c r="C421" s="22" t="s">
        <v>95</v>
      </c>
      <c r="D421" s="24" t="s">
        <v>36</v>
      </c>
      <c r="E421" s="22" t="s">
        <v>81</v>
      </c>
      <c r="F421" s="43" t="s">
        <v>399</v>
      </c>
      <c r="G421" s="22" t="s">
        <v>716</v>
      </c>
    </row>
    <row r="422" spans="1:7" ht="18" hidden="1" customHeight="1" x14ac:dyDescent="0.3">
      <c r="A422" s="20" t="s">
        <v>32</v>
      </c>
      <c r="B422" s="46" t="s">
        <v>33</v>
      </c>
      <c r="C422" s="22" t="s">
        <v>95</v>
      </c>
      <c r="D422" s="24" t="s">
        <v>36</v>
      </c>
      <c r="E422" s="22" t="s">
        <v>41</v>
      </c>
      <c r="F422" s="43" t="s">
        <v>399</v>
      </c>
      <c r="G422" s="22" t="s">
        <v>716</v>
      </c>
    </row>
    <row r="423" spans="1:7" ht="18" hidden="1" customHeight="1" x14ac:dyDescent="0.3">
      <c r="A423" s="20" t="s">
        <v>32</v>
      </c>
      <c r="B423" s="46" t="s">
        <v>33</v>
      </c>
      <c r="C423" s="22" t="s">
        <v>95</v>
      </c>
      <c r="D423" s="24" t="s">
        <v>36</v>
      </c>
      <c r="E423" s="22" t="s">
        <v>263</v>
      </c>
      <c r="F423" s="43" t="s">
        <v>399</v>
      </c>
      <c r="G423" s="22" t="s">
        <v>716</v>
      </c>
    </row>
    <row r="424" spans="1:7" ht="18" hidden="1" customHeight="1" x14ac:dyDescent="0.3">
      <c r="A424" s="20" t="s">
        <v>32</v>
      </c>
      <c r="B424" s="46" t="s">
        <v>33</v>
      </c>
      <c r="C424" s="22" t="s">
        <v>95</v>
      </c>
      <c r="D424" s="24" t="s">
        <v>36</v>
      </c>
      <c r="E424" s="22" t="s">
        <v>45</v>
      </c>
      <c r="F424" s="43" t="s">
        <v>399</v>
      </c>
      <c r="G424" s="22" t="s">
        <v>716</v>
      </c>
    </row>
    <row r="425" spans="1:7" ht="18" hidden="1" customHeight="1" x14ac:dyDescent="0.3">
      <c r="A425" s="34" t="s">
        <v>157</v>
      </c>
      <c r="B425" s="40" t="s">
        <v>158</v>
      </c>
      <c r="C425" s="28" t="s">
        <v>185</v>
      </c>
      <c r="D425" s="24" t="s">
        <v>36</v>
      </c>
      <c r="E425" s="28" t="s">
        <v>258</v>
      </c>
      <c r="F425" s="41" t="s">
        <v>401</v>
      </c>
      <c r="G425" s="28" t="s">
        <v>717</v>
      </c>
    </row>
    <row r="426" spans="1:7" ht="18" hidden="1" customHeight="1" x14ac:dyDescent="0.3">
      <c r="A426" s="34" t="s">
        <v>157</v>
      </c>
      <c r="B426" s="40" t="s">
        <v>158</v>
      </c>
      <c r="C426" s="28" t="s">
        <v>185</v>
      </c>
      <c r="D426" s="24" t="s">
        <v>36</v>
      </c>
      <c r="E426" s="28" t="s">
        <v>718</v>
      </c>
      <c r="F426" s="41" t="s">
        <v>401</v>
      </c>
      <c r="G426" s="28" t="s">
        <v>719</v>
      </c>
    </row>
    <row r="427" spans="1:7" ht="18" hidden="1" customHeight="1" x14ac:dyDescent="0.3">
      <c r="A427" s="34" t="s">
        <v>157</v>
      </c>
      <c r="B427" s="40" t="s">
        <v>158</v>
      </c>
      <c r="C427" s="28" t="s">
        <v>185</v>
      </c>
      <c r="D427" s="29" t="s">
        <v>41</v>
      </c>
      <c r="E427" s="28" t="s">
        <v>41</v>
      </c>
      <c r="F427" s="41" t="s">
        <v>435</v>
      </c>
      <c r="G427" s="28" t="s">
        <v>720</v>
      </c>
    </row>
    <row r="428" spans="1:7" ht="18" hidden="1" customHeight="1" x14ac:dyDescent="0.3">
      <c r="A428" s="38" t="s">
        <v>254</v>
      </c>
      <c r="B428" s="44" t="s">
        <v>255</v>
      </c>
      <c r="C428" s="22" t="s">
        <v>350</v>
      </c>
      <c r="D428" s="24" t="s">
        <v>36</v>
      </c>
      <c r="E428" s="22" t="s">
        <v>81</v>
      </c>
      <c r="F428" s="43" t="s">
        <v>401</v>
      </c>
      <c r="G428" s="22" t="s">
        <v>721</v>
      </c>
    </row>
    <row r="429" spans="1:7" ht="18" hidden="1" customHeight="1" x14ac:dyDescent="0.3">
      <c r="A429" s="38" t="s">
        <v>254</v>
      </c>
      <c r="B429" s="44" t="s">
        <v>255</v>
      </c>
      <c r="C429" s="28" t="s">
        <v>351</v>
      </c>
      <c r="D429" s="24" t="s">
        <v>36</v>
      </c>
      <c r="E429" s="28" t="s">
        <v>81</v>
      </c>
      <c r="F429" s="41" t="s">
        <v>396</v>
      </c>
      <c r="G429" s="28" t="s">
        <v>722</v>
      </c>
    </row>
    <row r="430" spans="1:7" ht="18" hidden="1" customHeight="1" x14ac:dyDescent="0.3">
      <c r="A430" s="38" t="s">
        <v>254</v>
      </c>
      <c r="B430" s="44" t="s">
        <v>255</v>
      </c>
      <c r="C430" s="22" t="s">
        <v>352</v>
      </c>
      <c r="D430" s="24" t="s">
        <v>36</v>
      </c>
      <c r="E430" s="22" t="s">
        <v>81</v>
      </c>
      <c r="F430" s="43" t="s">
        <v>557</v>
      </c>
      <c r="G430" s="22" t="s">
        <v>723</v>
      </c>
    </row>
    <row r="431" spans="1:7" ht="18" hidden="1" customHeight="1" x14ac:dyDescent="0.3">
      <c r="A431" s="38" t="s">
        <v>254</v>
      </c>
      <c r="B431" s="44" t="s">
        <v>255</v>
      </c>
      <c r="C431" s="22" t="s">
        <v>352</v>
      </c>
      <c r="D431" s="24" t="s">
        <v>36</v>
      </c>
      <c r="E431" s="22" t="s">
        <v>81</v>
      </c>
      <c r="F431" s="43" t="s">
        <v>557</v>
      </c>
      <c r="G431" s="22" t="s">
        <v>724</v>
      </c>
    </row>
    <row r="432" spans="1:7" ht="18" hidden="1" customHeight="1" x14ac:dyDescent="0.3">
      <c r="A432" s="32" t="s">
        <v>101</v>
      </c>
      <c r="B432" s="42" t="s">
        <v>41</v>
      </c>
      <c r="C432" s="28" t="s">
        <v>149</v>
      </c>
      <c r="D432" s="29" t="s">
        <v>41</v>
      </c>
      <c r="E432" s="28" t="s">
        <v>41</v>
      </c>
      <c r="F432" s="41" t="s">
        <v>725</v>
      </c>
      <c r="G432" s="28" t="s">
        <v>726</v>
      </c>
    </row>
    <row r="433" spans="1:7" ht="18" hidden="1" customHeight="1" x14ac:dyDescent="0.3">
      <c r="A433" s="32" t="s">
        <v>101</v>
      </c>
      <c r="B433" s="42" t="s">
        <v>41</v>
      </c>
      <c r="C433" s="22" t="s">
        <v>150</v>
      </c>
      <c r="D433" s="29" t="s">
        <v>41</v>
      </c>
      <c r="E433" s="22" t="s">
        <v>41</v>
      </c>
      <c r="F433" s="43" t="s">
        <v>665</v>
      </c>
      <c r="G433" s="22" t="s">
        <v>727</v>
      </c>
    </row>
    <row r="434" spans="1:7" ht="18" hidden="1" customHeight="1" x14ac:dyDescent="0.3">
      <c r="A434" s="20" t="s">
        <v>32</v>
      </c>
      <c r="B434" s="46" t="s">
        <v>33</v>
      </c>
      <c r="C434" s="28" t="s">
        <v>97</v>
      </c>
      <c r="D434" s="24" t="s">
        <v>36</v>
      </c>
      <c r="E434" s="28" t="s">
        <v>531</v>
      </c>
      <c r="F434" s="41" t="s">
        <v>426</v>
      </c>
      <c r="G434" s="28" t="s">
        <v>728</v>
      </c>
    </row>
    <row r="435" spans="1:7" ht="18" hidden="1" customHeight="1" x14ac:dyDescent="0.3">
      <c r="A435" s="20" t="s">
        <v>32</v>
      </c>
      <c r="B435" s="46" t="s">
        <v>33</v>
      </c>
      <c r="C435" s="28" t="s">
        <v>97</v>
      </c>
      <c r="D435" s="24" t="s">
        <v>36</v>
      </c>
      <c r="E435" s="28" t="s">
        <v>532</v>
      </c>
      <c r="F435" s="41" t="s">
        <v>426</v>
      </c>
      <c r="G435" s="28" t="s">
        <v>728</v>
      </c>
    </row>
    <row r="436" spans="1:7" ht="18" hidden="1" customHeight="1" x14ac:dyDescent="0.3">
      <c r="A436" s="20" t="s">
        <v>32</v>
      </c>
      <c r="B436" s="46" t="s">
        <v>33</v>
      </c>
      <c r="C436" s="28" t="s">
        <v>97</v>
      </c>
      <c r="D436" s="24" t="s">
        <v>36</v>
      </c>
      <c r="E436" s="28" t="s">
        <v>81</v>
      </c>
      <c r="F436" s="41" t="s">
        <v>426</v>
      </c>
      <c r="G436" s="28" t="s">
        <v>728</v>
      </c>
    </row>
    <row r="437" spans="1:7" ht="18" hidden="1" customHeight="1" x14ac:dyDescent="0.3">
      <c r="A437" s="20" t="s">
        <v>32</v>
      </c>
      <c r="B437" s="46" t="s">
        <v>33</v>
      </c>
      <c r="C437" s="28" t="s">
        <v>97</v>
      </c>
      <c r="D437" s="24" t="s">
        <v>36</v>
      </c>
      <c r="E437" s="28" t="s">
        <v>718</v>
      </c>
      <c r="F437" s="41" t="s">
        <v>426</v>
      </c>
      <c r="G437" s="28" t="s">
        <v>728</v>
      </c>
    </row>
    <row r="438" spans="1:7" ht="18" hidden="1" customHeight="1" x14ac:dyDescent="0.3">
      <c r="A438" s="20" t="s">
        <v>32</v>
      </c>
      <c r="B438" s="46" t="s">
        <v>33</v>
      </c>
      <c r="C438" s="28" t="s">
        <v>97</v>
      </c>
      <c r="D438" s="24" t="s">
        <v>36</v>
      </c>
      <c r="E438" s="28" t="s">
        <v>533</v>
      </c>
      <c r="F438" s="41" t="s">
        <v>426</v>
      </c>
      <c r="G438" s="28" t="s">
        <v>728</v>
      </c>
    </row>
    <row r="439" spans="1:7" ht="18" hidden="1" customHeight="1" x14ac:dyDescent="0.3">
      <c r="A439" s="20" t="s">
        <v>32</v>
      </c>
      <c r="B439" s="46" t="s">
        <v>33</v>
      </c>
      <c r="C439" s="28" t="s">
        <v>97</v>
      </c>
      <c r="D439" s="24" t="s">
        <v>36</v>
      </c>
      <c r="E439" s="28" t="s">
        <v>41</v>
      </c>
      <c r="F439" s="41" t="s">
        <v>426</v>
      </c>
      <c r="G439" s="28" t="s">
        <v>728</v>
      </c>
    </row>
    <row r="440" spans="1:7" ht="18" hidden="1" customHeight="1" x14ac:dyDescent="0.3">
      <c r="A440" s="20" t="s">
        <v>32</v>
      </c>
      <c r="B440" s="46" t="s">
        <v>33</v>
      </c>
      <c r="C440" s="22" t="s">
        <v>99</v>
      </c>
      <c r="D440" s="29" t="s">
        <v>41</v>
      </c>
      <c r="E440" s="22" t="s">
        <v>41</v>
      </c>
      <c r="F440" s="43" t="s">
        <v>404</v>
      </c>
      <c r="G440" s="22" t="s">
        <v>729</v>
      </c>
    </row>
    <row r="441" spans="1:7" ht="18" hidden="1" customHeight="1" x14ac:dyDescent="0.3">
      <c r="A441" s="32" t="s">
        <v>101</v>
      </c>
      <c r="B441" s="42" t="s">
        <v>41</v>
      </c>
      <c r="C441" s="28" t="s">
        <v>151</v>
      </c>
      <c r="D441" s="29" t="s">
        <v>41</v>
      </c>
      <c r="E441" s="28" t="s">
        <v>41</v>
      </c>
      <c r="F441" s="41" t="s">
        <v>392</v>
      </c>
      <c r="G441" s="28" t="s">
        <v>730</v>
      </c>
    </row>
    <row r="442" spans="1:7" ht="18" hidden="1" customHeight="1" x14ac:dyDescent="0.3">
      <c r="A442" s="20" t="s">
        <v>32</v>
      </c>
      <c r="B442" s="46" t="s">
        <v>33</v>
      </c>
      <c r="C442" s="22" t="s">
        <v>100</v>
      </c>
      <c r="D442" s="24" t="s">
        <v>36</v>
      </c>
      <c r="E442" s="22" t="s">
        <v>81</v>
      </c>
      <c r="F442" s="43" t="s">
        <v>492</v>
      </c>
      <c r="G442" s="22" t="s">
        <v>731</v>
      </c>
    </row>
    <row r="443" spans="1:7" ht="18" hidden="1" customHeight="1" x14ac:dyDescent="0.3">
      <c r="A443" s="38" t="s">
        <v>254</v>
      </c>
      <c r="B443" s="44" t="s">
        <v>255</v>
      </c>
      <c r="C443" s="28" t="s">
        <v>353</v>
      </c>
      <c r="D443" s="24" t="s">
        <v>36</v>
      </c>
      <c r="E443" s="28" t="s">
        <v>45</v>
      </c>
      <c r="F443" s="41" t="s">
        <v>389</v>
      </c>
      <c r="G443" s="28" t="s">
        <v>732</v>
      </c>
    </row>
    <row r="444" spans="1:7" ht="18" hidden="1" customHeight="1" x14ac:dyDescent="0.3">
      <c r="A444" s="32" t="s">
        <v>101</v>
      </c>
      <c r="B444" s="42" t="s">
        <v>41</v>
      </c>
      <c r="C444" s="22" t="s">
        <v>152</v>
      </c>
      <c r="D444" s="29" t="s">
        <v>41</v>
      </c>
      <c r="E444" s="22" t="s">
        <v>41</v>
      </c>
      <c r="F444" s="43" t="s">
        <v>733</v>
      </c>
      <c r="G444" s="22" t="s">
        <v>734</v>
      </c>
    </row>
    <row r="445" spans="1:7" ht="18" hidden="1" customHeight="1" x14ac:dyDescent="0.3">
      <c r="A445" s="32" t="s">
        <v>101</v>
      </c>
      <c r="B445" s="42" t="s">
        <v>41</v>
      </c>
      <c r="C445" s="28" t="s">
        <v>153</v>
      </c>
      <c r="D445" s="29" t="s">
        <v>41</v>
      </c>
      <c r="E445" s="28" t="s">
        <v>41</v>
      </c>
      <c r="F445" s="41" t="s">
        <v>404</v>
      </c>
      <c r="G445" s="28" t="s">
        <v>735</v>
      </c>
    </row>
    <row r="446" spans="1:7" ht="18" hidden="1" customHeight="1" x14ac:dyDescent="0.3">
      <c r="A446" s="32" t="s">
        <v>101</v>
      </c>
      <c r="B446" s="42" t="s">
        <v>41</v>
      </c>
      <c r="C446" s="22" t="s">
        <v>154</v>
      </c>
      <c r="D446" s="29" t="s">
        <v>41</v>
      </c>
      <c r="E446" s="22" t="s">
        <v>41</v>
      </c>
      <c r="F446" s="43" t="s">
        <v>421</v>
      </c>
      <c r="G446" s="22" t="s">
        <v>736</v>
      </c>
    </row>
    <row r="447" spans="1:7" ht="18" hidden="1" customHeight="1" x14ac:dyDescent="0.3">
      <c r="A447" s="34" t="s">
        <v>157</v>
      </c>
      <c r="B447" s="40" t="s">
        <v>158</v>
      </c>
      <c r="C447" s="28" t="s">
        <v>187</v>
      </c>
      <c r="D447" s="24" t="s">
        <v>36</v>
      </c>
      <c r="E447" s="28" t="s">
        <v>177</v>
      </c>
      <c r="F447" s="41" t="s">
        <v>415</v>
      </c>
      <c r="G447" s="28" t="s">
        <v>737</v>
      </c>
    </row>
    <row r="448" spans="1:7" ht="18" hidden="1" customHeight="1" x14ac:dyDescent="0.3">
      <c r="A448" s="34" t="s">
        <v>157</v>
      </c>
      <c r="B448" s="40" t="s">
        <v>158</v>
      </c>
      <c r="C448" s="28" t="s">
        <v>187</v>
      </c>
      <c r="D448" s="24" t="s">
        <v>36</v>
      </c>
      <c r="E448" s="28" t="s">
        <v>177</v>
      </c>
      <c r="F448" s="41" t="s">
        <v>399</v>
      </c>
      <c r="G448" s="28" t="s">
        <v>738</v>
      </c>
    </row>
    <row r="449" spans="1:7" ht="18" hidden="1" customHeight="1" x14ac:dyDescent="0.3">
      <c r="A449" s="34" t="s">
        <v>157</v>
      </c>
      <c r="B449" s="40" t="s">
        <v>158</v>
      </c>
      <c r="C449" s="28" t="s">
        <v>187</v>
      </c>
      <c r="D449" s="29" t="s">
        <v>41</v>
      </c>
      <c r="E449" s="28" t="s">
        <v>41</v>
      </c>
      <c r="F449" s="41" t="s">
        <v>415</v>
      </c>
      <c r="G449" s="28" t="s">
        <v>739</v>
      </c>
    </row>
    <row r="450" spans="1:7" ht="18" hidden="1" customHeight="1" x14ac:dyDescent="0.3">
      <c r="A450" s="32" t="s">
        <v>101</v>
      </c>
      <c r="B450" s="42" t="s">
        <v>41</v>
      </c>
      <c r="C450" s="22" t="s">
        <v>155</v>
      </c>
      <c r="D450" s="29" t="s">
        <v>41</v>
      </c>
      <c r="E450" s="22" t="s">
        <v>41</v>
      </c>
      <c r="F450" s="43" t="s">
        <v>636</v>
      </c>
      <c r="G450" s="22" t="s">
        <v>740</v>
      </c>
    </row>
    <row r="451" spans="1:7" ht="18" hidden="1" customHeight="1" x14ac:dyDescent="0.3">
      <c r="A451" s="32" t="s">
        <v>101</v>
      </c>
      <c r="B451" s="42" t="s">
        <v>41</v>
      </c>
      <c r="C451" s="28" t="s">
        <v>156</v>
      </c>
      <c r="D451" s="29" t="s">
        <v>41</v>
      </c>
      <c r="E451" s="28" t="s">
        <v>41</v>
      </c>
      <c r="F451" s="41" t="s">
        <v>421</v>
      </c>
      <c r="G451" s="28" t="s">
        <v>741</v>
      </c>
    </row>
  </sheetData>
  <autoFilter ref="A3:G451" xr:uid="{00000000-0009-0000-0000-000003000000}">
    <filterColumn colId="2">
      <filters>
        <filter val="Daltez"/>
        <filter val="Daltez - Bimestral"/>
        <filter val="Pedro Dalari"/>
      </filters>
    </filterColumn>
  </autoFilter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8"/>
  <sheetViews>
    <sheetView showGridLines="0"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7" customWidth="1"/>
    <col min="2" max="2" width="44" customWidth="1"/>
    <col min="3" max="4" width="16" customWidth="1"/>
    <col min="5" max="5" width="65" customWidth="1"/>
  </cols>
  <sheetData>
    <row r="1" spans="1:5" ht="37.950000000000003" customHeight="1" x14ac:dyDescent="0.3">
      <c r="A1" s="67" t="s">
        <v>742</v>
      </c>
      <c r="B1" s="52"/>
      <c r="C1" s="52"/>
      <c r="D1" s="52"/>
      <c r="E1" s="52"/>
    </row>
    <row r="2" spans="1:5" ht="16.05" customHeight="1" x14ac:dyDescent="0.3">
      <c r="A2" s="61" t="s">
        <v>743</v>
      </c>
      <c r="B2" s="52"/>
      <c r="C2" s="52"/>
      <c r="D2" s="52"/>
      <c r="E2" s="52"/>
    </row>
    <row r="3" spans="1:5" ht="25.95" customHeight="1" x14ac:dyDescent="0.3">
      <c r="A3" s="47" t="s">
        <v>23</v>
      </c>
      <c r="B3" s="47" t="s">
        <v>26</v>
      </c>
      <c r="C3" s="47" t="s">
        <v>384</v>
      </c>
      <c r="D3" s="47" t="s">
        <v>385</v>
      </c>
      <c r="E3" s="47" t="s">
        <v>386</v>
      </c>
    </row>
    <row r="4" spans="1:5" ht="18" customHeight="1" x14ac:dyDescent="0.3">
      <c r="A4" s="34" t="s">
        <v>157</v>
      </c>
      <c r="B4" s="28" t="s">
        <v>159</v>
      </c>
      <c r="C4" s="41" t="s">
        <v>41</v>
      </c>
      <c r="D4" s="41" t="s">
        <v>391</v>
      </c>
      <c r="E4" s="28" t="s">
        <v>388</v>
      </c>
    </row>
    <row r="5" spans="1:5" ht="18" customHeight="1" x14ac:dyDescent="0.3">
      <c r="A5" s="32" t="s">
        <v>101</v>
      </c>
      <c r="B5" s="30" t="s">
        <v>102</v>
      </c>
      <c r="C5" s="48" t="s">
        <v>41</v>
      </c>
      <c r="D5" s="48" t="s">
        <v>392</v>
      </c>
      <c r="E5" s="30" t="s">
        <v>393</v>
      </c>
    </row>
    <row r="6" spans="1:5" ht="18" customHeight="1" x14ac:dyDescent="0.3">
      <c r="A6" s="32" t="s">
        <v>101</v>
      </c>
      <c r="B6" s="28" t="s">
        <v>103</v>
      </c>
      <c r="C6" s="41" t="s">
        <v>41</v>
      </c>
      <c r="D6" s="41" t="s">
        <v>394</v>
      </c>
      <c r="E6" s="28" t="s">
        <v>395</v>
      </c>
    </row>
    <row r="7" spans="1:5" ht="18" customHeight="1" x14ac:dyDescent="0.3">
      <c r="A7" s="32" t="s">
        <v>101</v>
      </c>
      <c r="B7" s="30" t="s">
        <v>104</v>
      </c>
      <c r="C7" s="48" t="s">
        <v>41</v>
      </c>
      <c r="D7" s="48" t="s">
        <v>399</v>
      </c>
      <c r="E7" s="30" t="s">
        <v>400</v>
      </c>
    </row>
    <row r="8" spans="1:5" ht="18" customHeight="1" x14ac:dyDescent="0.3">
      <c r="A8" s="32" t="s">
        <v>101</v>
      </c>
      <c r="B8" s="28" t="s">
        <v>105</v>
      </c>
      <c r="C8" s="41" t="s">
        <v>41</v>
      </c>
      <c r="D8" s="41" t="s">
        <v>401</v>
      </c>
      <c r="E8" s="28" t="s">
        <v>402</v>
      </c>
    </row>
    <row r="9" spans="1:5" ht="18" customHeight="1" x14ac:dyDescent="0.3">
      <c r="A9" s="34" t="s">
        <v>157</v>
      </c>
      <c r="B9" s="30" t="s">
        <v>160</v>
      </c>
      <c r="C9" s="48" t="s">
        <v>41</v>
      </c>
      <c r="D9" s="48" t="s">
        <v>406</v>
      </c>
      <c r="E9" s="30" t="s">
        <v>407</v>
      </c>
    </row>
    <row r="10" spans="1:5" ht="18" customHeight="1" x14ac:dyDescent="0.3">
      <c r="A10" s="34" t="s">
        <v>157</v>
      </c>
      <c r="B10" s="28" t="s">
        <v>161</v>
      </c>
      <c r="C10" s="41" t="s">
        <v>41</v>
      </c>
      <c r="D10" s="41" t="s">
        <v>410</v>
      </c>
      <c r="E10" s="28" t="s">
        <v>411</v>
      </c>
    </row>
    <row r="11" spans="1:5" ht="18" customHeight="1" x14ac:dyDescent="0.3">
      <c r="A11" s="32" t="s">
        <v>101</v>
      </c>
      <c r="B11" s="30" t="s">
        <v>106</v>
      </c>
      <c r="C11" s="48" t="s">
        <v>41</v>
      </c>
      <c r="D11" s="48" t="s">
        <v>389</v>
      </c>
      <c r="E11" s="30" t="s">
        <v>412</v>
      </c>
    </row>
    <row r="12" spans="1:5" ht="18" customHeight="1" x14ac:dyDescent="0.3">
      <c r="A12" s="32" t="s">
        <v>101</v>
      </c>
      <c r="B12" s="28" t="s">
        <v>107</v>
      </c>
      <c r="C12" s="41" t="s">
        <v>41</v>
      </c>
      <c r="D12" s="41" t="s">
        <v>389</v>
      </c>
      <c r="E12" s="28" t="s">
        <v>414</v>
      </c>
    </row>
    <row r="13" spans="1:5" ht="18" customHeight="1" x14ac:dyDescent="0.3">
      <c r="A13" s="34" t="s">
        <v>157</v>
      </c>
      <c r="B13" s="30" t="s">
        <v>162</v>
      </c>
      <c r="C13" s="48" t="s">
        <v>41</v>
      </c>
      <c r="D13" s="48" t="s">
        <v>408</v>
      </c>
      <c r="E13" s="30" t="s">
        <v>418</v>
      </c>
    </row>
    <row r="14" spans="1:5" ht="18" customHeight="1" x14ac:dyDescent="0.3">
      <c r="A14" s="32" t="s">
        <v>101</v>
      </c>
      <c r="B14" s="28" t="s">
        <v>108</v>
      </c>
      <c r="C14" s="41" t="s">
        <v>41</v>
      </c>
      <c r="D14" s="41" t="s">
        <v>421</v>
      </c>
      <c r="E14" s="28" t="s">
        <v>422</v>
      </c>
    </row>
    <row r="15" spans="1:5" ht="18" customHeight="1" x14ac:dyDescent="0.3">
      <c r="A15" s="34" t="s">
        <v>157</v>
      </c>
      <c r="B15" s="30" t="s">
        <v>163</v>
      </c>
      <c r="C15" s="48" t="s">
        <v>41</v>
      </c>
      <c r="D15" s="48" t="s">
        <v>389</v>
      </c>
      <c r="E15" s="30" t="s">
        <v>430</v>
      </c>
    </row>
    <row r="16" spans="1:5" ht="18" customHeight="1" x14ac:dyDescent="0.3">
      <c r="A16" s="20" t="s">
        <v>32</v>
      </c>
      <c r="B16" s="28" t="s">
        <v>39</v>
      </c>
      <c r="C16" s="41" t="s">
        <v>41</v>
      </c>
      <c r="D16" s="41" t="s">
        <v>415</v>
      </c>
      <c r="E16" s="28" t="s">
        <v>431</v>
      </c>
    </row>
    <row r="17" spans="1:5" ht="18" customHeight="1" x14ac:dyDescent="0.3">
      <c r="A17" s="34" t="s">
        <v>157</v>
      </c>
      <c r="B17" s="30" t="s">
        <v>164</v>
      </c>
      <c r="C17" s="48" t="s">
        <v>41</v>
      </c>
      <c r="D17" s="48" t="s">
        <v>435</v>
      </c>
      <c r="E17" s="30" t="s">
        <v>436</v>
      </c>
    </row>
    <row r="18" spans="1:5" ht="18" customHeight="1" x14ac:dyDescent="0.3">
      <c r="A18" s="32" t="s">
        <v>101</v>
      </c>
      <c r="B18" s="28" t="s">
        <v>109</v>
      </c>
      <c r="C18" s="41" t="s">
        <v>41</v>
      </c>
      <c r="D18" s="41" t="s">
        <v>421</v>
      </c>
      <c r="E18" s="28" t="s">
        <v>454</v>
      </c>
    </row>
    <row r="19" spans="1:5" ht="18" customHeight="1" x14ac:dyDescent="0.3">
      <c r="A19" s="20" t="s">
        <v>32</v>
      </c>
      <c r="B19" s="30" t="s">
        <v>42</v>
      </c>
      <c r="C19" s="48" t="s">
        <v>41</v>
      </c>
      <c r="D19" s="48" t="s">
        <v>455</v>
      </c>
      <c r="E19" s="30" t="s">
        <v>456</v>
      </c>
    </row>
    <row r="20" spans="1:5" ht="18" customHeight="1" x14ac:dyDescent="0.3">
      <c r="A20" s="32" t="s">
        <v>101</v>
      </c>
      <c r="B20" s="28" t="s">
        <v>110</v>
      </c>
      <c r="C20" s="41" t="s">
        <v>41</v>
      </c>
      <c r="D20" s="41" t="s">
        <v>401</v>
      </c>
      <c r="E20" s="28" t="s">
        <v>457</v>
      </c>
    </row>
    <row r="21" spans="1:5" ht="18" customHeight="1" x14ac:dyDescent="0.3">
      <c r="A21" s="32" t="s">
        <v>101</v>
      </c>
      <c r="B21" s="30" t="s">
        <v>111</v>
      </c>
      <c r="C21" s="48" t="s">
        <v>41</v>
      </c>
      <c r="D21" s="48" t="s">
        <v>458</v>
      </c>
      <c r="E21" s="30" t="s">
        <v>459</v>
      </c>
    </row>
    <row r="22" spans="1:5" ht="18" customHeight="1" x14ac:dyDescent="0.3">
      <c r="A22" s="34" t="s">
        <v>157</v>
      </c>
      <c r="B22" s="28" t="s">
        <v>165</v>
      </c>
      <c r="C22" s="41" t="s">
        <v>41</v>
      </c>
      <c r="D22" s="41" t="s">
        <v>392</v>
      </c>
      <c r="E22" s="28" t="s">
        <v>462</v>
      </c>
    </row>
    <row r="23" spans="1:5" ht="18" customHeight="1" x14ac:dyDescent="0.3">
      <c r="A23" s="32" t="s">
        <v>101</v>
      </c>
      <c r="B23" s="30" t="s">
        <v>112</v>
      </c>
      <c r="C23" s="48" t="s">
        <v>41</v>
      </c>
      <c r="D23" s="48" t="s">
        <v>463</v>
      </c>
      <c r="E23" s="30" t="s">
        <v>464</v>
      </c>
    </row>
    <row r="24" spans="1:5" ht="18" customHeight="1" x14ac:dyDescent="0.3">
      <c r="A24" s="32" t="s">
        <v>101</v>
      </c>
      <c r="B24" s="28" t="s">
        <v>113</v>
      </c>
      <c r="C24" s="41" t="s">
        <v>41</v>
      </c>
      <c r="D24" s="41" t="s">
        <v>471</v>
      </c>
      <c r="E24" s="28" t="s">
        <v>472</v>
      </c>
    </row>
    <row r="25" spans="1:5" ht="18" customHeight="1" x14ac:dyDescent="0.3">
      <c r="A25" s="32" t="s">
        <v>101</v>
      </c>
      <c r="B25" s="30" t="s">
        <v>114</v>
      </c>
      <c r="C25" s="48" t="s">
        <v>41</v>
      </c>
      <c r="D25" s="48" t="s">
        <v>478</v>
      </c>
      <c r="E25" s="30" t="s">
        <v>479</v>
      </c>
    </row>
    <row r="26" spans="1:5" ht="18" customHeight="1" x14ac:dyDescent="0.3">
      <c r="A26" s="32" t="s">
        <v>101</v>
      </c>
      <c r="B26" s="28" t="s">
        <v>115</v>
      </c>
      <c r="C26" s="41" t="s">
        <v>41</v>
      </c>
      <c r="D26" s="41" t="s">
        <v>392</v>
      </c>
      <c r="E26" s="28" t="s">
        <v>480</v>
      </c>
    </row>
    <row r="27" spans="1:5" ht="18" customHeight="1" x14ac:dyDescent="0.3">
      <c r="A27" s="32" t="s">
        <v>101</v>
      </c>
      <c r="B27" s="30" t="s">
        <v>116</v>
      </c>
      <c r="C27" s="48" t="s">
        <v>41</v>
      </c>
      <c r="D27" s="48" t="s">
        <v>421</v>
      </c>
      <c r="E27" s="30" t="s">
        <v>483</v>
      </c>
    </row>
    <row r="28" spans="1:5" ht="18" customHeight="1" x14ac:dyDescent="0.3">
      <c r="A28" s="32" t="s">
        <v>101</v>
      </c>
      <c r="B28" s="28" t="s">
        <v>117</v>
      </c>
      <c r="C28" s="41" t="s">
        <v>41</v>
      </c>
      <c r="D28" s="41" t="s">
        <v>463</v>
      </c>
      <c r="E28" s="28"/>
    </row>
    <row r="29" spans="1:5" ht="18" customHeight="1" x14ac:dyDescent="0.3">
      <c r="A29" s="34" t="s">
        <v>157</v>
      </c>
      <c r="B29" s="30" t="s">
        <v>166</v>
      </c>
      <c r="C29" s="48" t="s">
        <v>41</v>
      </c>
      <c r="D29" s="48" t="s">
        <v>496</v>
      </c>
      <c r="E29" s="30" t="s">
        <v>497</v>
      </c>
    </row>
    <row r="30" spans="1:5" ht="18" customHeight="1" x14ac:dyDescent="0.3">
      <c r="A30" s="20" t="s">
        <v>32</v>
      </c>
      <c r="B30" s="28" t="s">
        <v>46</v>
      </c>
      <c r="C30" s="41" t="s">
        <v>41</v>
      </c>
      <c r="D30" s="41" t="s">
        <v>389</v>
      </c>
      <c r="E30" s="28" t="s">
        <v>501</v>
      </c>
    </row>
    <row r="31" spans="1:5" ht="18" customHeight="1" x14ac:dyDescent="0.3">
      <c r="A31" s="32" t="s">
        <v>101</v>
      </c>
      <c r="B31" s="30" t="s">
        <v>118</v>
      </c>
      <c r="C31" s="48" t="s">
        <v>41</v>
      </c>
      <c r="D31" s="48" t="s">
        <v>421</v>
      </c>
      <c r="E31" s="30" t="s">
        <v>504</v>
      </c>
    </row>
    <row r="32" spans="1:5" ht="18" customHeight="1" x14ac:dyDescent="0.3">
      <c r="A32" s="20" t="s">
        <v>32</v>
      </c>
      <c r="B32" s="28" t="s">
        <v>48</v>
      </c>
      <c r="C32" s="41" t="s">
        <v>41</v>
      </c>
      <c r="D32" s="41" t="s">
        <v>471</v>
      </c>
      <c r="E32" s="28" t="s">
        <v>509</v>
      </c>
    </row>
    <row r="33" spans="1:5" ht="18" customHeight="1" x14ac:dyDescent="0.3">
      <c r="A33" s="32" t="s">
        <v>101</v>
      </c>
      <c r="B33" s="30" t="s">
        <v>119</v>
      </c>
      <c r="C33" s="48" t="s">
        <v>41</v>
      </c>
      <c r="D33" s="48" t="s">
        <v>513</v>
      </c>
      <c r="E33" s="30" t="s">
        <v>514</v>
      </c>
    </row>
    <row r="34" spans="1:5" ht="18" customHeight="1" x14ac:dyDescent="0.3">
      <c r="A34" s="34" t="s">
        <v>157</v>
      </c>
      <c r="B34" s="28" t="s">
        <v>168</v>
      </c>
      <c r="C34" s="41" t="s">
        <v>41</v>
      </c>
      <c r="D34" s="41" t="s">
        <v>469</v>
      </c>
      <c r="E34" s="28" t="s">
        <v>520</v>
      </c>
    </row>
    <row r="35" spans="1:5" ht="18" customHeight="1" x14ac:dyDescent="0.3">
      <c r="A35" s="20" t="s">
        <v>32</v>
      </c>
      <c r="B35" s="30" t="s">
        <v>62</v>
      </c>
      <c r="C35" s="48" t="s">
        <v>41</v>
      </c>
      <c r="D35" s="48" t="s">
        <v>528</v>
      </c>
      <c r="E35" s="30" t="s">
        <v>529</v>
      </c>
    </row>
    <row r="36" spans="1:5" ht="18" customHeight="1" x14ac:dyDescent="0.3">
      <c r="A36" s="32" t="s">
        <v>101</v>
      </c>
      <c r="B36" s="28" t="s">
        <v>120</v>
      </c>
      <c r="C36" s="41" t="s">
        <v>41</v>
      </c>
      <c r="D36" s="41" t="s">
        <v>421</v>
      </c>
      <c r="E36" s="28" t="s">
        <v>535</v>
      </c>
    </row>
    <row r="37" spans="1:5" ht="18" customHeight="1" x14ac:dyDescent="0.3">
      <c r="A37" s="32" t="s">
        <v>101</v>
      </c>
      <c r="B37" s="30" t="s">
        <v>121</v>
      </c>
      <c r="C37" s="48" t="s">
        <v>41</v>
      </c>
      <c r="D37" s="48" t="s">
        <v>392</v>
      </c>
      <c r="E37" s="30" t="s">
        <v>545</v>
      </c>
    </row>
    <row r="38" spans="1:5" ht="18" customHeight="1" x14ac:dyDescent="0.3">
      <c r="A38" s="34" t="s">
        <v>157</v>
      </c>
      <c r="B38" s="28" t="s">
        <v>169</v>
      </c>
      <c r="C38" s="41" t="s">
        <v>41</v>
      </c>
      <c r="D38" s="41" t="s">
        <v>392</v>
      </c>
      <c r="E38" s="28" t="s">
        <v>550</v>
      </c>
    </row>
    <row r="39" spans="1:5" ht="18" customHeight="1" x14ac:dyDescent="0.3">
      <c r="A39" s="32" t="s">
        <v>101</v>
      </c>
      <c r="B39" s="30" t="s">
        <v>122</v>
      </c>
      <c r="C39" s="48" t="s">
        <v>41</v>
      </c>
      <c r="D39" s="48" t="s">
        <v>392</v>
      </c>
      <c r="E39" s="30" t="s">
        <v>555</v>
      </c>
    </row>
    <row r="40" spans="1:5" ht="18" customHeight="1" x14ac:dyDescent="0.3">
      <c r="A40" s="32" t="s">
        <v>101</v>
      </c>
      <c r="B40" s="28" t="s">
        <v>123</v>
      </c>
      <c r="C40" s="41" t="s">
        <v>41</v>
      </c>
      <c r="D40" s="41" t="s">
        <v>557</v>
      </c>
      <c r="E40" s="28" t="s">
        <v>558</v>
      </c>
    </row>
    <row r="41" spans="1:5" ht="18" customHeight="1" x14ac:dyDescent="0.3">
      <c r="A41" s="32" t="s">
        <v>101</v>
      </c>
      <c r="B41" s="30" t="s">
        <v>124</v>
      </c>
      <c r="C41" s="48" t="s">
        <v>41</v>
      </c>
      <c r="D41" s="48" t="s">
        <v>559</v>
      </c>
      <c r="E41" s="30" t="s">
        <v>560</v>
      </c>
    </row>
    <row r="42" spans="1:5" ht="18" customHeight="1" x14ac:dyDescent="0.3">
      <c r="A42" s="32" t="s">
        <v>101</v>
      </c>
      <c r="B42" s="28" t="s">
        <v>125</v>
      </c>
      <c r="C42" s="41" t="s">
        <v>41</v>
      </c>
      <c r="D42" s="41" t="s">
        <v>392</v>
      </c>
      <c r="E42" s="28" t="s">
        <v>563</v>
      </c>
    </row>
    <row r="43" spans="1:5" ht="18" customHeight="1" x14ac:dyDescent="0.3">
      <c r="A43" s="32" t="s">
        <v>101</v>
      </c>
      <c r="B43" s="30" t="s">
        <v>126</v>
      </c>
      <c r="C43" s="48" t="s">
        <v>41</v>
      </c>
      <c r="D43" s="48" t="s">
        <v>437</v>
      </c>
      <c r="E43" s="30" t="s">
        <v>571</v>
      </c>
    </row>
    <row r="44" spans="1:5" ht="18" customHeight="1" x14ac:dyDescent="0.3">
      <c r="A44" s="32" t="s">
        <v>101</v>
      </c>
      <c r="B44" s="28" t="s">
        <v>127</v>
      </c>
      <c r="C44" s="41" t="s">
        <v>41</v>
      </c>
      <c r="D44" s="41" t="s">
        <v>392</v>
      </c>
      <c r="E44" s="28" t="s">
        <v>572</v>
      </c>
    </row>
    <row r="45" spans="1:5" ht="18" customHeight="1" x14ac:dyDescent="0.3">
      <c r="A45" s="34" t="s">
        <v>157</v>
      </c>
      <c r="B45" s="30" t="s">
        <v>171</v>
      </c>
      <c r="C45" s="48" t="s">
        <v>41</v>
      </c>
      <c r="D45" s="48" t="s">
        <v>421</v>
      </c>
      <c r="E45" s="30" t="s">
        <v>574</v>
      </c>
    </row>
    <row r="46" spans="1:5" ht="18" customHeight="1" x14ac:dyDescent="0.3">
      <c r="A46" s="20" t="s">
        <v>32</v>
      </c>
      <c r="B46" s="28" t="s">
        <v>73</v>
      </c>
      <c r="C46" s="41" t="s">
        <v>41</v>
      </c>
      <c r="D46" s="41" t="s">
        <v>415</v>
      </c>
      <c r="E46" s="28" t="s">
        <v>578</v>
      </c>
    </row>
    <row r="47" spans="1:5" ht="18" customHeight="1" x14ac:dyDescent="0.3">
      <c r="A47" s="20" t="s">
        <v>32</v>
      </c>
      <c r="B47" s="30" t="s">
        <v>74</v>
      </c>
      <c r="C47" s="48" t="s">
        <v>41</v>
      </c>
      <c r="D47" s="48" t="s">
        <v>579</v>
      </c>
      <c r="E47" s="30" t="s">
        <v>580</v>
      </c>
    </row>
    <row r="48" spans="1:5" ht="18" customHeight="1" x14ac:dyDescent="0.3">
      <c r="A48" s="20" t="s">
        <v>32</v>
      </c>
      <c r="B48" s="28" t="s">
        <v>77</v>
      </c>
      <c r="C48" s="41" t="s">
        <v>41</v>
      </c>
      <c r="D48" s="41" t="s">
        <v>401</v>
      </c>
      <c r="E48" s="28" t="s">
        <v>584</v>
      </c>
    </row>
    <row r="49" spans="1:5" ht="18" customHeight="1" x14ac:dyDescent="0.3">
      <c r="A49" s="32" t="s">
        <v>101</v>
      </c>
      <c r="B49" s="30" t="s">
        <v>128</v>
      </c>
      <c r="C49" s="48" t="s">
        <v>41</v>
      </c>
      <c r="D49" s="48" t="s">
        <v>421</v>
      </c>
      <c r="E49" s="30" t="s">
        <v>585</v>
      </c>
    </row>
    <row r="50" spans="1:5" ht="18" customHeight="1" x14ac:dyDescent="0.3">
      <c r="A50" s="32" t="s">
        <v>101</v>
      </c>
      <c r="B50" s="28" t="s">
        <v>129</v>
      </c>
      <c r="C50" s="41" t="s">
        <v>41</v>
      </c>
      <c r="D50" s="41" t="s">
        <v>404</v>
      </c>
      <c r="E50" s="28" t="s">
        <v>586</v>
      </c>
    </row>
    <row r="51" spans="1:5" ht="18" customHeight="1" x14ac:dyDescent="0.3">
      <c r="A51" s="20" t="s">
        <v>32</v>
      </c>
      <c r="B51" s="30" t="s">
        <v>78</v>
      </c>
      <c r="C51" s="48" t="s">
        <v>41</v>
      </c>
      <c r="D51" s="48" t="s">
        <v>404</v>
      </c>
      <c r="E51" s="30" t="s">
        <v>589</v>
      </c>
    </row>
    <row r="52" spans="1:5" ht="18" customHeight="1" x14ac:dyDescent="0.3">
      <c r="A52" s="20" t="s">
        <v>32</v>
      </c>
      <c r="B52" s="28" t="s">
        <v>80</v>
      </c>
      <c r="C52" s="41" t="s">
        <v>41</v>
      </c>
      <c r="D52" s="41" t="s">
        <v>421</v>
      </c>
      <c r="E52" s="28" t="s">
        <v>591</v>
      </c>
    </row>
    <row r="53" spans="1:5" ht="18" customHeight="1" x14ac:dyDescent="0.3">
      <c r="A53" s="32" t="s">
        <v>101</v>
      </c>
      <c r="B53" s="30" t="s">
        <v>130</v>
      </c>
      <c r="C53" s="48" t="s">
        <v>41</v>
      </c>
      <c r="D53" s="48" t="s">
        <v>592</v>
      </c>
      <c r="E53" s="30" t="s">
        <v>593</v>
      </c>
    </row>
    <row r="54" spans="1:5" ht="18" customHeight="1" x14ac:dyDescent="0.3">
      <c r="A54" s="20" t="s">
        <v>32</v>
      </c>
      <c r="B54" s="28" t="s">
        <v>82</v>
      </c>
      <c r="C54" s="41" t="s">
        <v>41</v>
      </c>
      <c r="D54" s="41" t="s">
        <v>389</v>
      </c>
      <c r="E54" s="28" t="s">
        <v>596</v>
      </c>
    </row>
    <row r="55" spans="1:5" ht="18" customHeight="1" x14ac:dyDescent="0.3">
      <c r="A55" s="34" t="s">
        <v>157</v>
      </c>
      <c r="B55" s="30" t="s">
        <v>172</v>
      </c>
      <c r="C55" s="48" t="s">
        <v>41</v>
      </c>
      <c r="D55" s="48" t="s">
        <v>392</v>
      </c>
      <c r="E55" s="30" t="s">
        <v>598</v>
      </c>
    </row>
    <row r="56" spans="1:5" ht="18" customHeight="1" x14ac:dyDescent="0.3">
      <c r="A56" s="32" t="s">
        <v>101</v>
      </c>
      <c r="B56" s="28" t="s">
        <v>131</v>
      </c>
      <c r="C56" s="41" t="s">
        <v>41</v>
      </c>
      <c r="D56" s="41" t="s">
        <v>392</v>
      </c>
      <c r="E56" s="28" t="s">
        <v>602</v>
      </c>
    </row>
    <row r="57" spans="1:5" ht="18" customHeight="1" x14ac:dyDescent="0.3">
      <c r="A57" s="32" t="s">
        <v>101</v>
      </c>
      <c r="B57" s="30" t="s">
        <v>132</v>
      </c>
      <c r="C57" s="48" t="s">
        <v>41</v>
      </c>
      <c r="D57" s="48" t="s">
        <v>410</v>
      </c>
      <c r="E57" s="30" t="s">
        <v>607</v>
      </c>
    </row>
    <row r="58" spans="1:5" ht="18" customHeight="1" x14ac:dyDescent="0.3">
      <c r="A58" s="34" t="s">
        <v>157</v>
      </c>
      <c r="B58" s="28" t="s">
        <v>173</v>
      </c>
      <c r="C58" s="41" t="s">
        <v>41</v>
      </c>
      <c r="D58" s="41" t="s">
        <v>404</v>
      </c>
      <c r="E58" s="28" t="s">
        <v>612</v>
      </c>
    </row>
    <row r="59" spans="1:5" ht="18" customHeight="1" x14ac:dyDescent="0.3">
      <c r="A59" s="32" t="s">
        <v>101</v>
      </c>
      <c r="B59" s="30" t="s">
        <v>133</v>
      </c>
      <c r="C59" s="48" t="s">
        <v>41</v>
      </c>
      <c r="D59" s="48" t="s">
        <v>410</v>
      </c>
      <c r="E59" s="30" t="s">
        <v>618</v>
      </c>
    </row>
    <row r="60" spans="1:5" ht="18" customHeight="1" x14ac:dyDescent="0.3">
      <c r="A60" s="32" t="s">
        <v>101</v>
      </c>
      <c r="B60" s="28" t="s">
        <v>134</v>
      </c>
      <c r="C60" s="41" t="s">
        <v>41</v>
      </c>
      <c r="D60" s="41" t="s">
        <v>458</v>
      </c>
      <c r="E60" s="28" t="s">
        <v>624</v>
      </c>
    </row>
    <row r="61" spans="1:5" ht="18" customHeight="1" x14ac:dyDescent="0.3">
      <c r="A61" s="34" t="s">
        <v>157</v>
      </c>
      <c r="B61" s="30" t="s">
        <v>174</v>
      </c>
      <c r="C61" s="48" t="s">
        <v>41</v>
      </c>
      <c r="D61" s="48" t="s">
        <v>435</v>
      </c>
      <c r="E61" s="30" t="s">
        <v>628</v>
      </c>
    </row>
    <row r="62" spans="1:5" ht="18" customHeight="1" x14ac:dyDescent="0.3">
      <c r="A62" s="32" t="s">
        <v>101</v>
      </c>
      <c r="B62" s="28" t="s">
        <v>135</v>
      </c>
      <c r="C62" s="41" t="s">
        <v>41</v>
      </c>
      <c r="D62" s="41" t="s">
        <v>392</v>
      </c>
      <c r="E62" s="28" t="s">
        <v>635</v>
      </c>
    </row>
    <row r="63" spans="1:5" ht="18" customHeight="1" x14ac:dyDescent="0.3">
      <c r="A63" s="34" t="s">
        <v>157</v>
      </c>
      <c r="B63" s="30" t="s">
        <v>175</v>
      </c>
      <c r="C63" s="48" t="s">
        <v>41</v>
      </c>
      <c r="D63" s="48" t="s">
        <v>458</v>
      </c>
      <c r="E63" s="30" t="s">
        <v>643</v>
      </c>
    </row>
    <row r="64" spans="1:5" ht="18" customHeight="1" x14ac:dyDescent="0.3">
      <c r="A64" s="34" t="s">
        <v>157</v>
      </c>
      <c r="B64" s="28" t="s">
        <v>176</v>
      </c>
      <c r="C64" s="41" t="s">
        <v>41</v>
      </c>
      <c r="D64" s="41" t="s">
        <v>415</v>
      </c>
      <c r="E64" s="28" t="s">
        <v>646</v>
      </c>
    </row>
    <row r="65" spans="1:5" ht="18" customHeight="1" x14ac:dyDescent="0.3">
      <c r="A65" s="32" t="s">
        <v>101</v>
      </c>
      <c r="B65" s="30" t="s">
        <v>136</v>
      </c>
      <c r="C65" s="48" t="s">
        <v>41</v>
      </c>
      <c r="D65" s="48" t="s">
        <v>392</v>
      </c>
      <c r="E65" s="30" t="s">
        <v>649</v>
      </c>
    </row>
    <row r="66" spans="1:5" ht="18" customHeight="1" x14ac:dyDescent="0.3">
      <c r="A66" s="32" t="s">
        <v>101</v>
      </c>
      <c r="B66" s="28" t="s">
        <v>137</v>
      </c>
      <c r="C66" s="41" t="s">
        <v>41</v>
      </c>
      <c r="D66" s="41" t="s">
        <v>528</v>
      </c>
      <c r="E66" s="28" t="s">
        <v>651</v>
      </c>
    </row>
    <row r="67" spans="1:5" ht="18" customHeight="1" x14ac:dyDescent="0.3">
      <c r="A67" s="32" t="s">
        <v>101</v>
      </c>
      <c r="B67" s="30" t="s">
        <v>138</v>
      </c>
      <c r="C67" s="48" t="s">
        <v>41</v>
      </c>
      <c r="D67" s="48" t="s">
        <v>421</v>
      </c>
      <c r="E67" s="30" t="s">
        <v>652</v>
      </c>
    </row>
    <row r="68" spans="1:5" ht="18" customHeight="1" x14ac:dyDescent="0.3">
      <c r="A68" s="32" t="s">
        <v>101</v>
      </c>
      <c r="B68" s="28" t="s">
        <v>139</v>
      </c>
      <c r="C68" s="41" t="s">
        <v>41</v>
      </c>
      <c r="D68" s="41" t="s">
        <v>392</v>
      </c>
      <c r="E68" s="28" t="s">
        <v>653</v>
      </c>
    </row>
    <row r="69" spans="1:5" ht="18" customHeight="1" x14ac:dyDescent="0.3">
      <c r="A69" s="32" t="s">
        <v>101</v>
      </c>
      <c r="B69" s="30" t="s">
        <v>140</v>
      </c>
      <c r="C69" s="48" t="s">
        <v>41</v>
      </c>
      <c r="D69" s="48" t="s">
        <v>404</v>
      </c>
      <c r="E69" s="30" t="s">
        <v>654</v>
      </c>
    </row>
    <row r="70" spans="1:5" ht="18" customHeight="1" x14ac:dyDescent="0.3">
      <c r="A70" s="32" t="s">
        <v>101</v>
      </c>
      <c r="B70" s="28" t="s">
        <v>141</v>
      </c>
      <c r="C70" s="41" t="s">
        <v>41</v>
      </c>
      <c r="D70" s="41" t="s">
        <v>496</v>
      </c>
      <c r="E70" s="28" t="s">
        <v>656</v>
      </c>
    </row>
    <row r="71" spans="1:5" ht="18" customHeight="1" x14ac:dyDescent="0.3">
      <c r="A71" s="32" t="s">
        <v>101</v>
      </c>
      <c r="B71" s="30" t="s">
        <v>142</v>
      </c>
      <c r="C71" s="48" t="s">
        <v>41</v>
      </c>
      <c r="D71" s="48" t="s">
        <v>392</v>
      </c>
      <c r="E71" s="30" t="s">
        <v>555</v>
      </c>
    </row>
    <row r="72" spans="1:5" ht="18" customHeight="1" x14ac:dyDescent="0.3">
      <c r="A72" s="32" t="s">
        <v>101</v>
      </c>
      <c r="B72" s="28" t="s">
        <v>143</v>
      </c>
      <c r="C72" s="41" t="s">
        <v>41</v>
      </c>
      <c r="D72" s="41" t="s">
        <v>435</v>
      </c>
      <c r="E72" s="28" t="s">
        <v>662</v>
      </c>
    </row>
    <row r="73" spans="1:5" ht="18" customHeight="1" x14ac:dyDescent="0.3">
      <c r="A73" s="20" t="s">
        <v>32</v>
      </c>
      <c r="B73" s="30" t="s">
        <v>87</v>
      </c>
      <c r="C73" s="48" t="s">
        <v>41</v>
      </c>
      <c r="D73" s="48" t="s">
        <v>404</v>
      </c>
      <c r="E73" s="30" t="s">
        <v>664</v>
      </c>
    </row>
    <row r="74" spans="1:5" ht="18" customHeight="1" x14ac:dyDescent="0.3">
      <c r="A74" s="20" t="s">
        <v>32</v>
      </c>
      <c r="B74" s="28" t="s">
        <v>89</v>
      </c>
      <c r="C74" s="41" t="s">
        <v>41</v>
      </c>
      <c r="D74" s="41" t="s">
        <v>665</v>
      </c>
      <c r="E74" s="28" t="s">
        <v>666</v>
      </c>
    </row>
    <row r="75" spans="1:5" ht="18" customHeight="1" x14ac:dyDescent="0.3">
      <c r="A75" s="34" t="s">
        <v>157</v>
      </c>
      <c r="B75" s="30" t="s">
        <v>178</v>
      </c>
      <c r="C75" s="48" t="s">
        <v>41</v>
      </c>
      <c r="D75" s="48" t="s">
        <v>392</v>
      </c>
      <c r="E75" s="30" t="s">
        <v>674</v>
      </c>
    </row>
    <row r="76" spans="1:5" ht="18" customHeight="1" x14ac:dyDescent="0.3">
      <c r="A76" s="34" t="s">
        <v>157</v>
      </c>
      <c r="B76" s="28" t="s">
        <v>180</v>
      </c>
      <c r="C76" s="41" t="s">
        <v>41</v>
      </c>
      <c r="D76" s="41" t="s">
        <v>421</v>
      </c>
      <c r="E76" s="28" t="s">
        <v>678</v>
      </c>
    </row>
    <row r="77" spans="1:5" ht="18" customHeight="1" x14ac:dyDescent="0.3">
      <c r="A77" s="20" t="s">
        <v>32</v>
      </c>
      <c r="B77" s="30" t="s">
        <v>90</v>
      </c>
      <c r="C77" s="48" t="s">
        <v>41</v>
      </c>
      <c r="D77" s="48" t="s">
        <v>401</v>
      </c>
      <c r="E77" s="30" t="s">
        <v>680</v>
      </c>
    </row>
    <row r="78" spans="1:5" ht="18" customHeight="1" x14ac:dyDescent="0.3">
      <c r="A78" s="32" t="s">
        <v>101</v>
      </c>
      <c r="B78" s="28" t="s">
        <v>144</v>
      </c>
      <c r="C78" s="41" t="s">
        <v>41</v>
      </c>
      <c r="D78" s="41" t="s">
        <v>559</v>
      </c>
      <c r="E78" s="28" t="s">
        <v>684</v>
      </c>
    </row>
    <row r="79" spans="1:5" ht="18" customHeight="1" x14ac:dyDescent="0.3">
      <c r="A79" s="32" t="s">
        <v>101</v>
      </c>
      <c r="B79" s="30" t="s">
        <v>145</v>
      </c>
      <c r="C79" s="48" t="s">
        <v>41</v>
      </c>
      <c r="D79" s="48" t="s">
        <v>421</v>
      </c>
      <c r="E79" s="30" t="s">
        <v>686</v>
      </c>
    </row>
    <row r="80" spans="1:5" ht="18" customHeight="1" x14ac:dyDescent="0.3">
      <c r="A80" s="34" t="s">
        <v>157</v>
      </c>
      <c r="B80" s="28" t="s">
        <v>181</v>
      </c>
      <c r="C80" s="41" t="s">
        <v>41</v>
      </c>
      <c r="D80" s="41" t="s">
        <v>510</v>
      </c>
      <c r="E80" s="28" t="s">
        <v>690</v>
      </c>
    </row>
    <row r="81" spans="1:5" ht="18" customHeight="1" x14ac:dyDescent="0.3">
      <c r="A81" s="34" t="s">
        <v>157</v>
      </c>
      <c r="B81" s="30" t="s">
        <v>183</v>
      </c>
      <c r="C81" s="48" t="s">
        <v>41</v>
      </c>
      <c r="D81" s="48" t="s">
        <v>410</v>
      </c>
      <c r="E81" s="30" t="s">
        <v>700</v>
      </c>
    </row>
    <row r="82" spans="1:5" ht="18" customHeight="1" x14ac:dyDescent="0.3">
      <c r="A82" s="32" t="s">
        <v>101</v>
      </c>
      <c r="B82" s="28" t="s">
        <v>146</v>
      </c>
      <c r="C82" s="41" t="s">
        <v>41</v>
      </c>
      <c r="D82" s="41" t="s">
        <v>399</v>
      </c>
      <c r="E82" s="28" t="s">
        <v>701</v>
      </c>
    </row>
    <row r="83" spans="1:5" ht="18" customHeight="1" x14ac:dyDescent="0.3">
      <c r="A83" s="20" t="s">
        <v>32</v>
      </c>
      <c r="B83" s="30" t="s">
        <v>92</v>
      </c>
      <c r="C83" s="48" t="s">
        <v>41</v>
      </c>
      <c r="D83" s="48" t="s">
        <v>389</v>
      </c>
      <c r="E83" s="30" t="s">
        <v>703</v>
      </c>
    </row>
    <row r="84" spans="1:5" ht="18" customHeight="1" x14ac:dyDescent="0.3">
      <c r="A84" s="20" t="s">
        <v>32</v>
      </c>
      <c r="B84" s="28" t="s">
        <v>93</v>
      </c>
      <c r="C84" s="41" t="s">
        <v>41</v>
      </c>
      <c r="D84" s="41" t="s">
        <v>408</v>
      </c>
      <c r="E84" s="28" t="s">
        <v>704</v>
      </c>
    </row>
    <row r="85" spans="1:5" ht="18" customHeight="1" x14ac:dyDescent="0.3">
      <c r="A85" s="20" t="s">
        <v>32</v>
      </c>
      <c r="B85" s="30" t="s">
        <v>94</v>
      </c>
      <c r="C85" s="48" t="s">
        <v>41</v>
      </c>
      <c r="D85" s="48" t="s">
        <v>408</v>
      </c>
      <c r="E85" s="30" t="s">
        <v>705</v>
      </c>
    </row>
    <row r="86" spans="1:5" ht="18" customHeight="1" x14ac:dyDescent="0.3">
      <c r="A86" s="32" t="s">
        <v>101</v>
      </c>
      <c r="B86" s="28" t="s">
        <v>147</v>
      </c>
      <c r="C86" s="41" t="s">
        <v>41</v>
      </c>
      <c r="D86" s="41" t="s">
        <v>421</v>
      </c>
      <c r="E86" s="28" t="s">
        <v>712</v>
      </c>
    </row>
    <row r="87" spans="1:5" ht="18" customHeight="1" x14ac:dyDescent="0.3">
      <c r="A87" s="32" t="s">
        <v>101</v>
      </c>
      <c r="B87" s="30" t="s">
        <v>148</v>
      </c>
      <c r="C87" s="48" t="s">
        <v>41</v>
      </c>
      <c r="D87" s="48" t="s">
        <v>713</v>
      </c>
      <c r="E87" s="30" t="s">
        <v>714</v>
      </c>
    </row>
    <row r="88" spans="1:5" ht="18" customHeight="1" x14ac:dyDescent="0.3">
      <c r="A88" s="34" t="s">
        <v>157</v>
      </c>
      <c r="B88" s="28" t="s">
        <v>185</v>
      </c>
      <c r="C88" s="41" t="s">
        <v>41</v>
      </c>
      <c r="D88" s="41" t="s">
        <v>435</v>
      </c>
      <c r="E88" s="28" t="s">
        <v>720</v>
      </c>
    </row>
    <row r="89" spans="1:5" ht="18" customHeight="1" x14ac:dyDescent="0.3">
      <c r="A89" s="32" t="s">
        <v>101</v>
      </c>
      <c r="B89" s="30" t="s">
        <v>149</v>
      </c>
      <c r="C89" s="48" t="s">
        <v>41</v>
      </c>
      <c r="D89" s="48" t="s">
        <v>725</v>
      </c>
      <c r="E89" s="30" t="s">
        <v>726</v>
      </c>
    </row>
    <row r="90" spans="1:5" ht="18" customHeight="1" x14ac:dyDescent="0.3">
      <c r="A90" s="32" t="s">
        <v>101</v>
      </c>
      <c r="B90" s="28" t="s">
        <v>150</v>
      </c>
      <c r="C90" s="41" t="s">
        <v>41</v>
      </c>
      <c r="D90" s="41" t="s">
        <v>665</v>
      </c>
      <c r="E90" s="28" t="s">
        <v>727</v>
      </c>
    </row>
    <row r="91" spans="1:5" ht="18" customHeight="1" x14ac:dyDescent="0.3">
      <c r="A91" s="20" t="s">
        <v>32</v>
      </c>
      <c r="B91" s="30" t="s">
        <v>99</v>
      </c>
      <c r="C91" s="48" t="s">
        <v>41</v>
      </c>
      <c r="D91" s="48" t="s">
        <v>404</v>
      </c>
      <c r="E91" s="30" t="s">
        <v>729</v>
      </c>
    </row>
    <row r="92" spans="1:5" ht="18" customHeight="1" x14ac:dyDescent="0.3">
      <c r="A92" s="32" t="s">
        <v>101</v>
      </c>
      <c r="B92" s="28" t="s">
        <v>151</v>
      </c>
      <c r="C92" s="41" t="s">
        <v>41</v>
      </c>
      <c r="D92" s="41" t="s">
        <v>392</v>
      </c>
      <c r="E92" s="28" t="s">
        <v>730</v>
      </c>
    </row>
    <row r="93" spans="1:5" ht="18" customHeight="1" x14ac:dyDescent="0.3">
      <c r="A93" s="32" t="s">
        <v>101</v>
      </c>
      <c r="B93" s="30" t="s">
        <v>152</v>
      </c>
      <c r="C93" s="48" t="s">
        <v>41</v>
      </c>
      <c r="D93" s="48" t="s">
        <v>733</v>
      </c>
      <c r="E93" s="30" t="s">
        <v>734</v>
      </c>
    </row>
    <row r="94" spans="1:5" ht="18" customHeight="1" x14ac:dyDescent="0.3">
      <c r="A94" s="32" t="s">
        <v>101</v>
      </c>
      <c r="B94" s="28" t="s">
        <v>153</v>
      </c>
      <c r="C94" s="41" t="s">
        <v>41</v>
      </c>
      <c r="D94" s="41" t="s">
        <v>404</v>
      </c>
      <c r="E94" s="28" t="s">
        <v>735</v>
      </c>
    </row>
    <row r="95" spans="1:5" ht="18" customHeight="1" x14ac:dyDescent="0.3">
      <c r="A95" s="32" t="s">
        <v>101</v>
      </c>
      <c r="B95" s="30" t="s">
        <v>154</v>
      </c>
      <c r="C95" s="48" t="s">
        <v>41</v>
      </c>
      <c r="D95" s="48" t="s">
        <v>421</v>
      </c>
      <c r="E95" s="30" t="s">
        <v>736</v>
      </c>
    </row>
    <row r="96" spans="1:5" ht="18" customHeight="1" x14ac:dyDescent="0.3">
      <c r="A96" s="34" t="s">
        <v>157</v>
      </c>
      <c r="B96" s="28" t="s">
        <v>187</v>
      </c>
      <c r="C96" s="41" t="s">
        <v>41</v>
      </c>
      <c r="D96" s="41" t="s">
        <v>415</v>
      </c>
      <c r="E96" s="28" t="s">
        <v>739</v>
      </c>
    </row>
    <row r="97" spans="1:5" ht="18" customHeight="1" x14ac:dyDescent="0.3">
      <c r="A97" s="32" t="s">
        <v>101</v>
      </c>
      <c r="B97" s="30" t="s">
        <v>155</v>
      </c>
      <c r="C97" s="48" t="s">
        <v>41</v>
      </c>
      <c r="D97" s="48" t="s">
        <v>636</v>
      </c>
      <c r="E97" s="30" t="s">
        <v>740</v>
      </c>
    </row>
    <row r="98" spans="1:5" ht="18" customHeight="1" x14ac:dyDescent="0.3">
      <c r="A98" s="32" t="s">
        <v>101</v>
      </c>
      <c r="B98" s="28" t="s">
        <v>156</v>
      </c>
      <c r="C98" s="41" t="s">
        <v>41</v>
      </c>
      <c r="D98" s="41" t="s">
        <v>421</v>
      </c>
      <c r="E98" s="28" t="s">
        <v>741</v>
      </c>
    </row>
  </sheetData>
  <autoFilter ref="A3:E98" xr:uid="{00000000-0009-0000-0000-000004000000}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2" customWidth="1"/>
    <col min="2" max="2" width="20" customWidth="1"/>
    <col min="3" max="3" width="38" customWidth="1"/>
    <col min="4" max="4" width="18" customWidth="1"/>
    <col min="5" max="5" width="54" customWidth="1"/>
    <col min="6" max="6" width="10" customWidth="1"/>
  </cols>
  <sheetData>
    <row r="1" spans="1:6" ht="37.950000000000003" customHeight="1" x14ac:dyDescent="0.3">
      <c r="A1" s="68" t="s">
        <v>744</v>
      </c>
      <c r="B1" s="52"/>
      <c r="C1" s="52"/>
      <c r="D1" s="52"/>
      <c r="E1" s="52"/>
      <c r="F1" s="52"/>
    </row>
    <row r="2" spans="1:6" ht="16.05" customHeight="1" x14ac:dyDescent="0.3">
      <c r="A2" s="61" t="s">
        <v>745</v>
      </c>
      <c r="B2" s="52"/>
      <c r="C2" s="52"/>
      <c r="D2" s="52"/>
      <c r="E2" s="52"/>
      <c r="F2" s="52"/>
    </row>
    <row r="3" spans="1:6" ht="25.95" customHeight="1" x14ac:dyDescent="0.3">
      <c r="A3" s="39" t="s">
        <v>746</v>
      </c>
      <c r="B3" s="39" t="s">
        <v>747</v>
      </c>
      <c r="C3" s="39" t="s">
        <v>748</v>
      </c>
      <c r="D3" s="39" t="s">
        <v>28</v>
      </c>
      <c r="E3" s="39" t="s">
        <v>357</v>
      </c>
      <c r="F3" s="39" t="s">
        <v>31</v>
      </c>
    </row>
    <row r="4" spans="1:6" ht="24" customHeight="1" x14ac:dyDescent="0.3">
      <c r="A4" s="49" t="s">
        <v>34</v>
      </c>
      <c r="B4" s="50" t="s">
        <v>35</v>
      </c>
      <c r="C4" s="25" t="s">
        <v>34</v>
      </c>
      <c r="D4" s="24" t="s">
        <v>36</v>
      </c>
      <c r="E4" s="25" t="s">
        <v>37</v>
      </c>
      <c r="F4" s="26">
        <v>4</v>
      </c>
    </row>
    <row r="5" spans="1:6" ht="24" customHeight="1" x14ac:dyDescent="0.3">
      <c r="A5" s="49" t="s">
        <v>749</v>
      </c>
      <c r="B5" s="50" t="s">
        <v>40</v>
      </c>
      <c r="C5" s="28" t="s">
        <v>39</v>
      </c>
      <c r="D5" s="29" t="s">
        <v>41</v>
      </c>
      <c r="E5" s="28" t="s">
        <v>41</v>
      </c>
      <c r="F5" s="26">
        <v>1</v>
      </c>
    </row>
    <row r="6" spans="1:6" ht="24" customHeight="1" x14ac:dyDescent="0.3">
      <c r="A6" s="49" t="s">
        <v>750</v>
      </c>
      <c r="B6" s="50" t="s">
        <v>40</v>
      </c>
      <c r="C6" s="25" t="s">
        <v>42</v>
      </c>
      <c r="D6" s="29" t="s">
        <v>41</v>
      </c>
      <c r="E6" s="25" t="s">
        <v>41</v>
      </c>
      <c r="F6" s="26">
        <v>1</v>
      </c>
    </row>
    <row r="7" spans="1:6" ht="24" customHeight="1" x14ac:dyDescent="0.3">
      <c r="A7" s="49" t="s">
        <v>86</v>
      </c>
      <c r="B7" s="50" t="s">
        <v>44</v>
      </c>
      <c r="C7" s="28" t="s">
        <v>43</v>
      </c>
      <c r="D7" s="24" t="s">
        <v>36</v>
      </c>
      <c r="E7" s="28" t="s">
        <v>45</v>
      </c>
      <c r="F7" s="26">
        <v>1</v>
      </c>
    </row>
    <row r="8" spans="1:6" ht="24" customHeight="1" x14ac:dyDescent="0.3">
      <c r="A8" s="49" t="s">
        <v>751</v>
      </c>
      <c r="B8" s="50" t="s">
        <v>47</v>
      </c>
      <c r="C8" s="25" t="s">
        <v>46</v>
      </c>
      <c r="D8" s="29" t="s">
        <v>41</v>
      </c>
      <c r="E8" s="25" t="s">
        <v>41</v>
      </c>
      <c r="F8" s="26">
        <v>1</v>
      </c>
    </row>
    <row r="9" spans="1:6" ht="24" customHeight="1" x14ac:dyDescent="0.3">
      <c r="A9" s="49" t="s">
        <v>48</v>
      </c>
      <c r="B9" s="50" t="s">
        <v>49</v>
      </c>
      <c r="C9" s="28" t="s">
        <v>48</v>
      </c>
      <c r="D9" s="31" t="s">
        <v>9</v>
      </c>
      <c r="E9" s="28" t="s">
        <v>358</v>
      </c>
      <c r="F9" s="26">
        <v>8</v>
      </c>
    </row>
    <row r="10" spans="1:6" ht="24" customHeight="1" x14ac:dyDescent="0.3">
      <c r="A10" s="49" t="s">
        <v>86</v>
      </c>
      <c r="B10" s="50" t="s">
        <v>44</v>
      </c>
      <c r="C10" s="25" t="s">
        <v>51</v>
      </c>
      <c r="D10" s="24" t="s">
        <v>36</v>
      </c>
      <c r="E10" s="25" t="s">
        <v>52</v>
      </c>
      <c r="F10" s="26">
        <v>2</v>
      </c>
    </row>
    <row r="11" spans="1:6" ht="24" customHeight="1" x14ac:dyDescent="0.3">
      <c r="A11" s="49" t="s">
        <v>752</v>
      </c>
      <c r="B11" s="50" t="s">
        <v>54</v>
      </c>
      <c r="C11" s="28" t="s">
        <v>53</v>
      </c>
      <c r="D11" s="24" t="s">
        <v>36</v>
      </c>
      <c r="E11" s="28" t="s">
        <v>55</v>
      </c>
      <c r="F11" s="26">
        <v>6</v>
      </c>
    </row>
    <row r="12" spans="1:6" ht="24" customHeight="1" x14ac:dyDescent="0.3">
      <c r="A12" s="49" t="s">
        <v>750</v>
      </c>
      <c r="B12" s="50" t="s">
        <v>40</v>
      </c>
      <c r="C12" s="25" t="s">
        <v>56</v>
      </c>
      <c r="D12" s="24" t="s">
        <v>36</v>
      </c>
      <c r="E12" s="25" t="s">
        <v>57</v>
      </c>
      <c r="F12" s="26">
        <v>4</v>
      </c>
    </row>
    <row r="13" spans="1:6" ht="24" customHeight="1" x14ac:dyDescent="0.3">
      <c r="A13" s="49" t="s">
        <v>750</v>
      </c>
      <c r="B13" s="50" t="s">
        <v>40</v>
      </c>
      <c r="C13" s="28" t="s">
        <v>58</v>
      </c>
      <c r="D13" s="24" t="s">
        <v>36</v>
      </c>
      <c r="E13" s="28" t="s">
        <v>59</v>
      </c>
      <c r="F13" s="26">
        <v>3</v>
      </c>
    </row>
    <row r="14" spans="1:6" ht="24" customHeight="1" x14ac:dyDescent="0.3">
      <c r="A14" s="49" t="s">
        <v>750</v>
      </c>
      <c r="B14" s="50" t="s">
        <v>40</v>
      </c>
      <c r="C14" s="25" t="s">
        <v>60</v>
      </c>
      <c r="D14" s="24" t="s">
        <v>36</v>
      </c>
      <c r="E14" s="25" t="s">
        <v>61</v>
      </c>
      <c r="F14" s="26">
        <v>2</v>
      </c>
    </row>
    <row r="15" spans="1:6" ht="24" customHeight="1" x14ac:dyDescent="0.3">
      <c r="A15" s="49" t="s">
        <v>753</v>
      </c>
      <c r="B15" s="50" t="s">
        <v>63</v>
      </c>
      <c r="C15" s="28" t="s">
        <v>62</v>
      </c>
      <c r="D15" s="29" t="s">
        <v>41</v>
      </c>
      <c r="E15" s="28" t="s">
        <v>41</v>
      </c>
      <c r="F15" s="26">
        <v>1</v>
      </c>
    </row>
    <row r="16" spans="1:6" ht="24" customHeight="1" x14ac:dyDescent="0.3">
      <c r="A16" s="49" t="s">
        <v>751</v>
      </c>
      <c r="B16" s="50" t="s">
        <v>47</v>
      </c>
      <c r="C16" s="25" t="s">
        <v>64</v>
      </c>
      <c r="D16" s="24" t="s">
        <v>36</v>
      </c>
      <c r="E16" s="25" t="s">
        <v>65</v>
      </c>
      <c r="F16" s="26">
        <v>7</v>
      </c>
    </row>
    <row r="17" spans="1:6" ht="24" customHeight="1" x14ac:dyDescent="0.3">
      <c r="A17" s="49" t="s">
        <v>754</v>
      </c>
      <c r="B17" s="50" t="s">
        <v>49</v>
      </c>
      <c r="C17" s="28" t="s">
        <v>66</v>
      </c>
      <c r="D17" s="24" t="s">
        <v>36</v>
      </c>
      <c r="E17" s="28" t="s">
        <v>67</v>
      </c>
      <c r="F17" s="26">
        <v>4</v>
      </c>
    </row>
    <row r="18" spans="1:6" ht="24" customHeight="1" x14ac:dyDescent="0.3">
      <c r="A18" s="49" t="s">
        <v>755</v>
      </c>
      <c r="B18" s="50" t="s">
        <v>40</v>
      </c>
      <c r="C18" s="25" t="s">
        <v>68</v>
      </c>
      <c r="D18" s="24" t="s">
        <v>36</v>
      </c>
      <c r="E18" s="25" t="s">
        <v>69</v>
      </c>
      <c r="F18" s="26">
        <v>3</v>
      </c>
    </row>
    <row r="19" spans="1:6" ht="24" customHeight="1" x14ac:dyDescent="0.3">
      <c r="A19" s="49" t="s">
        <v>70</v>
      </c>
      <c r="B19" s="50" t="s">
        <v>71</v>
      </c>
      <c r="C19" s="28" t="s">
        <v>70</v>
      </c>
      <c r="D19" s="24" t="s">
        <v>36</v>
      </c>
      <c r="E19" s="28" t="s">
        <v>72</v>
      </c>
      <c r="F19" s="26">
        <v>5</v>
      </c>
    </row>
    <row r="20" spans="1:6" ht="24" customHeight="1" x14ac:dyDescent="0.3">
      <c r="A20" s="49" t="s">
        <v>756</v>
      </c>
      <c r="B20" s="50" t="s">
        <v>71</v>
      </c>
      <c r="C20" s="25" t="s">
        <v>73</v>
      </c>
      <c r="D20" s="29" t="s">
        <v>41</v>
      </c>
      <c r="E20" s="25" t="s">
        <v>41</v>
      </c>
      <c r="F20" s="26">
        <v>1</v>
      </c>
    </row>
    <row r="21" spans="1:6" ht="24" customHeight="1" x14ac:dyDescent="0.3">
      <c r="A21" s="49" t="s">
        <v>756</v>
      </c>
      <c r="B21" s="50" t="s">
        <v>71</v>
      </c>
      <c r="C21" s="28" t="s">
        <v>74</v>
      </c>
      <c r="D21" s="29" t="s">
        <v>41</v>
      </c>
      <c r="E21" s="28" t="s">
        <v>41</v>
      </c>
      <c r="F21" s="26">
        <v>1</v>
      </c>
    </row>
    <row r="22" spans="1:6" ht="24" customHeight="1" x14ac:dyDescent="0.3">
      <c r="A22" s="49" t="s">
        <v>756</v>
      </c>
      <c r="B22" s="50" t="s">
        <v>71</v>
      </c>
      <c r="C22" s="25" t="s">
        <v>75</v>
      </c>
      <c r="D22" s="24" t="s">
        <v>36</v>
      </c>
      <c r="E22" s="25" t="s">
        <v>76</v>
      </c>
      <c r="F22" s="26">
        <v>7</v>
      </c>
    </row>
    <row r="23" spans="1:6" ht="24" customHeight="1" x14ac:dyDescent="0.3">
      <c r="A23" s="49" t="s">
        <v>751</v>
      </c>
      <c r="B23" s="50" t="s">
        <v>47</v>
      </c>
      <c r="C23" s="28" t="s">
        <v>77</v>
      </c>
      <c r="D23" s="29" t="s">
        <v>41</v>
      </c>
      <c r="E23" s="28" t="s">
        <v>41</v>
      </c>
      <c r="F23" s="26">
        <v>1</v>
      </c>
    </row>
    <row r="24" spans="1:6" ht="24" customHeight="1" x14ac:dyDescent="0.3">
      <c r="A24" s="49" t="s">
        <v>753</v>
      </c>
      <c r="B24" s="50" t="s">
        <v>63</v>
      </c>
      <c r="C24" s="25" t="s">
        <v>78</v>
      </c>
      <c r="D24" s="31" t="s">
        <v>9</v>
      </c>
      <c r="E24" s="25" t="s">
        <v>359</v>
      </c>
      <c r="F24" s="26">
        <v>3</v>
      </c>
    </row>
    <row r="25" spans="1:6" ht="24" customHeight="1" x14ac:dyDescent="0.3">
      <c r="A25" s="49" t="s">
        <v>753</v>
      </c>
      <c r="B25" s="50" t="s">
        <v>63</v>
      </c>
      <c r="C25" s="28" t="s">
        <v>80</v>
      </c>
      <c r="D25" s="31" t="s">
        <v>9</v>
      </c>
      <c r="E25" s="28" t="s">
        <v>239</v>
      </c>
      <c r="F25" s="26">
        <v>2</v>
      </c>
    </row>
    <row r="26" spans="1:6" ht="24" customHeight="1" x14ac:dyDescent="0.3">
      <c r="A26" s="49" t="s">
        <v>757</v>
      </c>
      <c r="B26" s="50" t="s">
        <v>83</v>
      </c>
      <c r="C26" s="25" t="s">
        <v>82</v>
      </c>
      <c r="D26" s="31" t="s">
        <v>9</v>
      </c>
      <c r="E26" s="25" t="s">
        <v>360</v>
      </c>
      <c r="F26" s="26">
        <v>3</v>
      </c>
    </row>
    <row r="27" spans="1:6" ht="24" customHeight="1" x14ac:dyDescent="0.3">
      <c r="A27" s="49" t="s">
        <v>84</v>
      </c>
      <c r="B27" s="50" t="s">
        <v>49</v>
      </c>
      <c r="C27" s="28" t="s">
        <v>84</v>
      </c>
      <c r="D27" s="24" t="s">
        <v>36</v>
      </c>
      <c r="E27" s="28" t="s">
        <v>85</v>
      </c>
      <c r="F27" s="26">
        <v>5</v>
      </c>
    </row>
    <row r="28" spans="1:6" ht="24" customHeight="1" x14ac:dyDescent="0.3">
      <c r="A28" s="49" t="s">
        <v>86</v>
      </c>
      <c r="B28" s="50" t="s">
        <v>44</v>
      </c>
      <c r="C28" s="25" t="s">
        <v>86</v>
      </c>
      <c r="D28" s="24" t="s">
        <v>36</v>
      </c>
      <c r="E28" s="25" t="s">
        <v>79</v>
      </c>
      <c r="F28" s="26">
        <v>2</v>
      </c>
    </row>
    <row r="29" spans="1:6" ht="24" customHeight="1" x14ac:dyDescent="0.3">
      <c r="A29" s="49" t="s">
        <v>87</v>
      </c>
      <c r="B29" s="50" t="s">
        <v>71</v>
      </c>
      <c r="C29" s="28" t="s">
        <v>87</v>
      </c>
      <c r="D29" s="31" t="s">
        <v>9</v>
      </c>
      <c r="E29" s="28" t="s">
        <v>361</v>
      </c>
      <c r="F29" s="26">
        <v>4</v>
      </c>
    </row>
    <row r="30" spans="1:6" ht="24" customHeight="1" x14ac:dyDescent="0.3">
      <c r="A30" s="49" t="s">
        <v>87</v>
      </c>
      <c r="B30" s="50" t="s">
        <v>71</v>
      </c>
      <c r="C30" s="25" t="s">
        <v>89</v>
      </c>
      <c r="D30" s="29" t="s">
        <v>41</v>
      </c>
      <c r="E30" s="25" t="s">
        <v>41</v>
      </c>
      <c r="F30" s="26">
        <v>1</v>
      </c>
    </row>
    <row r="31" spans="1:6" ht="24" customHeight="1" x14ac:dyDescent="0.3">
      <c r="A31" s="49" t="s">
        <v>751</v>
      </c>
      <c r="B31" s="50" t="s">
        <v>47</v>
      </c>
      <c r="C31" s="28" t="s">
        <v>90</v>
      </c>
      <c r="D31" s="31" t="s">
        <v>9</v>
      </c>
      <c r="E31" s="28" t="s">
        <v>239</v>
      </c>
      <c r="F31" s="26">
        <v>2</v>
      </c>
    </row>
    <row r="32" spans="1:6" ht="24" customHeight="1" x14ac:dyDescent="0.3">
      <c r="A32" s="49" t="s">
        <v>91</v>
      </c>
      <c r="B32" s="50" t="s">
        <v>49</v>
      </c>
      <c r="C32" s="25" t="s">
        <v>91</v>
      </c>
      <c r="D32" s="24" t="s">
        <v>36</v>
      </c>
      <c r="E32" s="25" t="s">
        <v>61</v>
      </c>
      <c r="F32" s="26">
        <v>2</v>
      </c>
    </row>
    <row r="33" spans="1:6" ht="24" customHeight="1" x14ac:dyDescent="0.3">
      <c r="A33" s="49" t="s">
        <v>91</v>
      </c>
      <c r="B33" s="50" t="s">
        <v>49</v>
      </c>
      <c r="C33" s="28" t="s">
        <v>92</v>
      </c>
      <c r="D33" s="29" t="s">
        <v>41</v>
      </c>
      <c r="E33" s="28" t="s">
        <v>41</v>
      </c>
      <c r="F33" s="26">
        <v>1</v>
      </c>
    </row>
    <row r="34" spans="1:6" ht="24" customHeight="1" x14ac:dyDescent="0.3">
      <c r="A34" s="49" t="s">
        <v>91</v>
      </c>
      <c r="B34" s="50" t="s">
        <v>49</v>
      </c>
      <c r="C34" s="25" t="s">
        <v>93</v>
      </c>
      <c r="D34" s="29" t="s">
        <v>41</v>
      </c>
      <c r="E34" s="25" t="s">
        <v>41</v>
      </c>
      <c r="F34" s="26">
        <v>1</v>
      </c>
    </row>
    <row r="35" spans="1:6" ht="24" customHeight="1" x14ac:dyDescent="0.3">
      <c r="A35" s="49" t="s">
        <v>91</v>
      </c>
      <c r="B35" s="50" t="s">
        <v>49</v>
      </c>
      <c r="C35" s="28" t="s">
        <v>94</v>
      </c>
      <c r="D35" s="29" t="s">
        <v>41</v>
      </c>
      <c r="E35" s="28" t="s">
        <v>41</v>
      </c>
      <c r="F35" s="26">
        <v>1</v>
      </c>
    </row>
    <row r="36" spans="1:6" ht="24" customHeight="1" x14ac:dyDescent="0.3">
      <c r="A36" s="49" t="s">
        <v>95</v>
      </c>
      <c r="B36" s="50" t="s">
        <v>54</v>
      </c>
      <c r="C36" s="25" t="s">
        <v>95</v>
      </c>
      <c r="D36" s="24" t="s">
        <v>36</v>
      </c>
      <c r="E36" s="25" t="s">
        <v>96</v>
      </c>
      <c r="F36" s="26">
        <v>5</v>
      </c>
    </row>
    <row r="37" spans="1:6" ht="24" customHeight="1" x14ac:dyDescent="0.3">
      <c r="A37" s="49" t="s">
        <v>751</v>
      </c>
      <c r="B37" s="50" t="s">
        <v>47</v>
      </c>
      <c r="C37" s="28" t="s">
        <v>97</v>
      </c>
      <c r="D37" s="24" t="s">
        <v>36</v>
      </c>
      <c r="E37" s="28" t="s">
        <v>98</v>
      </c>
      <c r="F37" s="26">
        <v>6</v>
      </c>
    </row>
    <row r="38" spans="1:6" ht="24" customHeight="1" x14ac:dyDescent="0.3">
      <c r="A38" s="49" t="s">
        <v>751</v>
      </c>
      <c r="B38" s="50" t="s">
        <v>47</v>
      </c>
      <c r="C38" s="25" t="s">
        <v>99</v>
      </c>
      <c r="D38" s="29" t="s">
        <v>41</v>
      </c>
      <c r="E38" s="25" t="s">
        <v>41</v>
      </c>
      <c r="F38" s="26">
        <v>1</v>
      </c>
    </row>
    <row r="39" spans="1:6" ht="24" customHeight="1" x14ac:dyDescent="0.3">
      <c r="A39" s="49" t="s">
        <v>755</v>
      </c>
      <c r="B39" s="50" t="s">
        <v>40</v>
      </c>
      <c r="C39" s="28" t="s">
        <v>100</v>
      </c>
      <c r="D39" s="24" t="s">
        <v>36</v>
      </c>
      <c r="E39" s="28" t="s">
        <v>81</v>
      </c>
      <c r="F39" s="26">
        <v>1</v>
      </c>
    </row>
  </sheetData>
  <autoFilter ref="A3:F39" xr:uid="{00000000-0009-0000-0000-000005000000}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Painel Geral</vt:lpstr>
      <vt:lpstr>Por Categoria</vt:lpstr>
      <vt:lpstr>Detalhe Completo</vt:lpstr>
      <vt:lpstr>Envio Trabalhista</vt:lpstr>
      <vt:lpstr>Clientes 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Isabella Vieira Chaves</cp:lastModifiedBy>
  <dcterms:created xsi:type="dcterms:W3CDTF">2026-06-24T17:39:17Z</dcterms:created>
  <dcterms:modified xsi:type="dcterms:W3CDTF">2026-06-25T16:37:08Z</dcterms:modified>
</cp:coreProperties>
</file>